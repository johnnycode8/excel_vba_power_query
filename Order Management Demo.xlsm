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E:\"/>
    </mc:Choice>
  </mc:AlternateContent>
  <xr:revisionPtr revIDLastSave="0" documentId="13_ncr:1_{FEDF7B4B-CF83-418A-B65A-1B3E5A53FE5A}" xr6:coauthVersionLast="47" xr6:coauthVersionMax="47" xr10:uidLastSave="{00000000-0000-0000-0000-000000000000}"/>
  <bookViews>
    <workbookView xWindow="-108" yWindow="-108" windowWidth="24792" windowHeight="13440" xr2:uid="{E4F03495-7B8D-4036-B9FF-4E15A59D5D8B}"/>
  </bookViews>
  <sheets>
    <sheet name="Sales Invoice" sheetId="10" r:id="rId1"/>
    <sheet name="Orders" sheetId="3" r:id="rId2"/>
    <sheet name="Customers" sheetId="2" r:id="rId3"/>
    <sheet name="Products" sheetId="1" r:id="rId4"/>
    <sheet name="Config" sheetId="4" r:id="rId5"/>
  </sheets>
  <externalReferences>
    <externalReference r:id="rId6"/>
    <externalReference r:id="rId7"/>
  </externalReferences>
  <definedNames>
    <definedName name="invCustomerID" localSheetId="0">'Sales Invoice'!$H$6</definedName>
    <definedName name="invCustomerID">'[1]Sales Invoice'!$H$6</definedName>
    <definedName name="invOrderDate" localSheetId="0">'Sales Invoice'!$H$4</definedName>
    <definedName name="invOrderDate">'[1]Sales Invoice'!$H$4</definedName>
    <definedName name="invOrderID" localSheetId="0">'Sales Invoice'!$H$5</definedName>
    <definedName name="invOrderID">#REF!</definedName>
    <definedName name="invTaxRate" localSheetId="0">'Sales Invoice'!$H$18</definedName>
    <definedName name="invTaxRate">'[1]Sales Invoice'!$H$17</definedName>
    <definedName name="PK_CustomerID" localSheetId="0">[2]!Customers[Customer ID]</definedName>
    <definedName name="PK_CustomerID">Customers[Customer ID]</definedName>
    <definedName name="PK_OrderID">OrderSummary[Order ID]</definedName>
    <definedName name="PK_ProductID" localSheetId="0">[2]!Products[Product ID]</definedName>
    <definedName name="PK_ProductID">Products[Product ID]</definedName>
    <definedName name="PK_StatusID" localSheetId="0">[2]!Status[Status ID]</definedName>
    <definedName name="PK_StatusID">Status[Status ID]</definedName>
    <definedName name="_xlnm.Print_Area" localSheetId="0">'Sales Invoice'!$B$2:$H$24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6" i="10" l="1"/>
  <c r="H15" i="10"/>
  <c r="H14" i="10"/>
  <c r="H17" i="10" s="1"/>
  <c r="H18" i="10"/>
  <c r="H6" i="10"/>
  <c r="H4" i="10"/>
  <c r="F21" i="10"/>
  <c r="H19" i="10" l="1"/>
  <c r="D11" i="3"/>
  <c r="G11" i="3"/>
  <c r="F2" i="3" l="1" a="1"/>
  <c r="F2" i="3"/>
  <c r="F3" i="3" a="1"/>
  <c r="F3" i="3"/>
  <c r="D10" i="3"/>
  <c r="G10" i="3"/>
  <c r="D9" i="3"/>
  <c r="G9" i="3"/>
  <c r="D3" i="3"/>
  <c r="G7" i="3"/>
  <c r="G8" i="3"/>
  <c r="D7" i="3"/>
  <c r="D8" i="3"/>
  <c r="D2" i="3"/>
  <c r="E3" i="3" l="1"/>
  <c r="G3" i="3" s="1"/>
  <c r="H3" i="3" s="1"/>
  <c r="E2" i="3"/>
  <c r="G2" i="3" l="1"/>
  <c r="H2"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<sst xmlns="http://schemas.openxmlformats.org/spreadsheetml/2006/main" count="159" uniqueCount="142">
  <si>
    <t>Product Name</t>
  </si>
  <si>
    <t>Product Description</t>
  </si>
  <si>
    <t>Care Instructions</t>
  </si>
  <si>
    <t>Unit Price</t>
  </si>
  <si>
    <t>Zebra Plant</t>
  </si>
  <si>
    <t>Zebra Plant is a small succulent with green leaves featuring striking white, zebra-like stripes.</t>
  </si>
  <si>
    <t xml:space="preserve">Requires bright, indirect light and well-draining soil; water sparingly. </t>
  </si>
  <si>
    <t>Pilea Friendship Plant</t>
  </si>
  <si>
    <t>Pilea Friendship Plant is a low-maintenance, trailing houseplant with coin-shaped leaves.</t>
  </si>
  <si>
    <t xml:space="preserve">Thrives in moderate, indirect sunlight; keep soil consistently moist but not soggy. </t>
  </si>
  <si>
    <t>Rattlesnake Plant</t>
  </si>
  <si>
    <t>Rattlesnake Plant is known for its vibrant, patterned foliage that resembles a snake's skin.</t>
  </si>
  <si>
    <t xml:space="preserve">Prefers medium to low light; keep soil evenly moist during the growing season. </t>
  </si>
  <si>
    <t>Swiss Cheese Plant</t>
  </si>
  <si>
    <t>Swiss Cheese Plant is a tropical favorite with large, fenestrated leaves resembling Swiss cheese.</t>
  </si>
  <si>
    <t xml:space="preserve">Requires bright, indirect light and well-draining soil; water when the top inch of soil is dry. </t>
  </si>
  <si>
    <t>Bunny Ear Cactus</t>
  </si>
  <si>
    <t>Bunny Ear Cactus is a prickly pear cactus with flattened, oval pads that resemble bunny ears.</t>
  </si>
  <si>
    <t xml:space="preserve">Needs plenty of sunlight; water sparingly, allowing the soil to dry between waterings. </t>
  </si>
  <si>
    <t>Panda Plant</t>
  </si>
  <si>
    <t>Panda Plant is a succulent with soft, velvety leaves covered in tiny white hairs.</t>
  </si>
  <si>
    <t xml:space="preserve">Thrives in bright, indirect light; allow the soil to dry out between watering. </t>
  </si>
  <si>
    <t>String of Dolphins</t>
  </si>
  <si>
    <t>String of Dolphins is a trailing succulent with leaves that resemble leaping dolphins.</t>
  </si>
  <si>
    <t xml:space="preserve">Prefers bright, indirect light; water when the top inch of soil is dry. </t>
  </si>
  <si>
    <t>Buddha's Temple</t>
  </si>
  <si>
    <t>Buddha's Temple is a unique succulent with stacked, pagoda-like leaves.</t>
  </si>
  <si>
    <t xml:space="preserve">Requires bright, indirect light; water when the top inch of soil is dry. </t>
  </si>
  <si>
    <t>String of Hearts</t>
  </si>
  <si>
    <t>String of Hearts is a trailing plant with heart-shaped leaves, perfect for hanging baskets.</t>
  </si>
  <si>
    <t xml:space="preserve">Thrives in bright, indirect light; allow the soil to partially dry between watering. </t>
  </si>
  <si>
    <t>Lipstick Plant</t>
  </si>
  <si>
    <t>Lipstick Plant features dark green leaves and tubular red flowers resembling lipsticks.</t>
  </si>
  <si>
    <t>Needs bright, indirect light and consistently moist soil during the growing season.</t>
  </si>
  <si>
    <t>Prayer Plant</t>
  </si>
  <si>
    <t>Prayer Plant has leaves that fold upward at night, resembling hands in prayer.</t>
  </si>
  <si>
    <t>Prefers bright, indirect light; keep the soil consistently moist but not waterlogged.</t>
  </si>
  <si>
    <t>Ponytail Palm</t>
  </si>
  <si>
    <t>Ponytail Palm is a quirky succulent with a bulbous trunk and long, cascading leaves.</t>
  </si>
  <si>
    <t>Requires bright, indirect light and well-draining soil; water sparingly.</t>
  </si>
  <si>
    <t>Pencil Cactus</t>
  </si>
  <si>
    <t>Pencil Cactus is a tall succulent with slender, cylindrical stems.</t>
  </si>
  <si>
    <t>Needs plenty of sunlight; water sparingly and allow the soil to dry between waterings.</t>
  </si>
  <si>
    <t>Cupid Peperomia</t>
  </si>
  <si>
    <t>Cupid Peperomia has heart-shaped leaves and is a charming, compact houseplant.</t>
  </si>
  <si>
    <t>Thrives in moderate, indirect light; keep the soil slightly moist.</t>
  </si>
  <si>
    <t>Dancing Bones Cactus</t>
  </si>
  <si>
    <t>Dancing Bones Cactus has segmented stems that resemble a skeleton's bones.</t>
  </si>
  <si>
    <t>Requires bright, indirect light; water sparingly, allowing the soil to dry between waterings.</t>
  </si>
  <si>
    <t>Baby's Tears</t>
  </si>
  <si>
    <t>Baby's Tears is a delicate, ground-covering plant with tiny, teardrop-shaped leaves.</t>
  </si>
  <si>
    <t>Prefers medium to low light; keep soil evenly moist but not soggy.</t>
  </si>
  <si>
    <t>Peacock Plant</t>
  </si>
  <si>
    <t>Peacock Plant boasts vibrant, patterned foliage reminiscent of a peacock's tail.</t>
  </si>
  <si>
    <t>Requires bright, indirect light; water when the top inch of soil is dry.</t>
  </si>
  <si>
    <t>Living Stones</t>
  </si>
  <si>
    <t>Living Stones are succulents that mimic the appearance of stones, blending into their arid environment.</t>
  </si>
  <si>
    <t>Needs bright, indirect light and well-draining soil; water sparingly.</t>
  </si>
  <si>
    <t>Parrot's Beak Plant</t>
  </si>
  <si>
    <t>Parrot's Beak Plant has unique, curved orange or red flowers resembling a parrot's beak.</t>
  </si>
  <si>
    <t>Prefers bright, indirect light; keep soil consistently moist during the growing season.</t>
  </si>
  <si>
    <t>Shrimp Plant</t>
  </si>
  <si>
    <t>Shrimp Plant produces exotic-looking flowers that resemble colorful shrimp.</t>
  </si>
  <si>
    <t>Thrives in bright, indirect light; water when the top inch of soil is dry.</t>
  </si>
  <si>
    <t>Product ID</t>
  </si>
  <si>
    <t>Customer ID</t>
  </si>
  <si>
    <t>First Name</t>
  </si>
  <si>
    <t>Last Name</t>
  </si>
  <si>
    <t>Email</t>
  </si>
  <si>
    <t>Phone</t>
  </si>
  <si>
    <t>Address</t>
  </si>
  <si>
    <t>City</t>
  </si>
  <si>
    <t>State</t>
  </si>
  <si>
    <t>Zip Code</t>
  </si>
  <si>
    <t>CA</t>
  </si>
  <si>
    <t>456-789-0123</t>
  </si>
  <si>
    <t>Mia</t>
  </si>
  <si>
    <t>Walker</t>
  </si>
  <si>
    <t>mia.walker@example.com</t>
  </si>
  <si>
    <t>1234 Pine Ave</t>
  </si>
  <si>
    <t>Mountainville</t>
  </si>
  <si>
    <t>Order ID</t>
  </si>
  <si>
    <t>Order Date</t>
  </si>
  <si>
    <t>Customer Name</t>
  </si>
  <si>
    <t>Order Subtotal</t>
  </si>
  <si>
    <t>Tax Rate</t>
  </si>
  <si>
    <t>Tax Amount</t>
  </si>
  <si>
    <t>Order Total</t>
  </si>
  <si>
    <t>Order Status</t>
  </si>
  <si>
    <t>Quantity</t>
  </si>
  <si>
    <t>Line Total</t>
  </si>
  <si>
    <t>Order Detail ID</t>
  </si>
  <si>
    <t>Evelyn</t>
  </si>
  <si>
    <t>Clark</t>
  </si>
  <si>
    <t>evelyn.clark@example.com</t>
  </si>
  <si>
    <t>678-901-2345</t>
  </si>
  <si>
    <t>8901 Willow Dr</t>
  </si>
  <si>
    <t>Willowcrest</t>
  </si>
  <si>
    <t>NEW</t>
  </si>
  <si>
    <t>READY</t>
  </si>
  <si>
    <t>DELIVERED</t>
  </si>
  <si>
    <t>Status Description</t>
  </si>
  <si>
    <t>New order</t>
  </si>
  <si>
    <t>Ready for delivery</t>
  </si>
  <si>
    <t>Order is delivered</t>
  </si>
  <si>
    <t>Status ID</t>
  </si>
  <si>
    <t>Size ID</t>
  </si>
  <si>
    <t>Size Description</t>
  </si>
  <si>
    <t>Addon Price</t>
  </si>
  <si>
    <t>S</t>
  </si>
  <si>
    <t>Small size plant &lt;10cm</t>
  </si>
  <si>
    <t>M</t>
  </si>
  <si>
    <t>Medium size plant between 10cm to 20cm</t>
  </si>
  <si>
    <t>L</t>
  </si>
  <si>
    <t>Large size plant &gt;20cm</t>
  </si>
  <si>
    <t>Invoice</t>
  </si>
  <si>
    <t>Date:</t>
  </si>
  <si>
    <t>Order #:</t>
  </si>
  <si>
    <t>Customer ID:</t>
  </si>
  <si>
    <t>To:</t>
  </si>
  <si>
    <t>Name</t>
  </si>
  <si>
    <t>Company Name</t>
  </si>
  <si>
    <t>Street Address</t>
  </si>
  <si>
    <t>City, ST  ZIP Code</t>
  </si>
  <si>
    <t>Qty</t>
  </si>
  <si>
    <t>Item #</t>
  </si>
  <si>
    <t>Description</t>
  </si>
  <si>
    <t>Discount</t>
  </si>
  <si>
    <t>Total Discount</t>
  </si>
  <si>
    <t>Subtotal</t>
  </si>
  <si>
    <t>Sales Tax</t>
  </si>
  <si>
    <t>Total</t>
  </si>
  <si>
    <t>Thank you for your business!</t>
  </si>
  <si>
    <t>Street Address, City, ST  ZIP Code,  Phone,  Fax,  E-mail</t>
  </si>
  <si>
    <t>Column1</t>
  </si>
  <si>
    <t xml:space="preserve">Make all checks payable to </t>
  </si>
  <si>
    <t>Deliver to:</t>
  </si>
  <si>
    <t>Zombie Company</t>
  </si>
  <si>
    <t>Invoice #:</t>
  </si>
  <si>
    <t>We put the Z in Satisfaction</t>
  </si>
  <si>
    <t>Zebra Plant $16</t>
  </si>
  <si>
    <t>Pilea Friendship Plant $19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</si>
</sst>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7" formatCode="&quot;$&quot;#,##0.00_);\(&quot;$&quot;#,##0.00\)"/>
    <numFmt numFmtId="44" formatCode="_(&quot;$&quot;* #,##0.00_);_(&quot;$&quot;* \(#,##0.00\);_(&quot;$&quot;* &quot;-&quot;??_);_(@_)"/>
    <numFmt numFmtId="43" formatCode="_(* #,##0.00_);_(* \(#,##0.00\);_(* &quot;-&quot;??_);_(@_)"/>
    <numFmt numFmtId="164" formatCode="_(\$* #,##0.00_);_(\$* \(#,##0.00\);_(\$* \-??_);_(@_)"/>
    <numFmt numFmtId="165" formatCode="m/d/yy;@"/>
  </numFmts>
  <fonts count="37" x14ac:knownFonts="1">
    <font>
      <sz val="11"/>
      <color theme="1"/>
      <name val="Calibri"/>
      <family val="2"/>
      <scheme val="minor"/>
    </font>
    <font>
      <sz val="11"/>
      <color theme="1"/>
      <name val="Calibri"/>
      <family val="2"/>
      <scheme val="minor"/>
    </font>
    <font>
      <sz val="11"/>
      <color theme="1"/>
      <name val="Calibri"/>
      <family val="2"/>
      <charset val="1"/>
    </font>
    <font>
      <b/>
      <sz val="11"/>
      <color theme="1"/>
      <name val="Calibri"/>
      <family val="2"/>
    </font>
    <font>
      <b/>
      <sz val="11"/>
      <color theme="1"/>
      <name val="Calibri"/>
      <family val="2"/>
      <scheme val="minor"/>
    </font>
    <font>
      <sz val="11"/>
      <color rgb="FF000000"/>
      <name val="Calibri"/>
      <family val="2"/>
      <charset val="1"/>
    </font>
    <font>
      <b/>
      <sz val="11"/>
      <color rgb="FF000000"/>
      <name val="Calibri"/>
      <family val="2"/>
    </font>
    <font>
      <u/>
      <sz val="11"/>
      <color theme="1"/>
      <name val="Calibri"/>
      <family val="2"/>
      <scheme val="minor"/>
    </font>
    <font>
      <i/>
      <sz val="11"/>
      <color theme="1"/>
      <name val="Calibri"/>
      <family val="2"/>
      <scheme val="minor"/>
    </font>
    <font>
      <sz val="10"/>
      <name val="Calibri"/>
      <family val="2"/>
      <scheme val="minor"/>
    </font>
    <font>
      <sz val="11"/>
      <color theme="0"/>
      <name val="Calibri"/>
      <family val="2"/>
    </font>
    <font>
      <b/>
      <sz val="45"/>
      <color theme="6"/>
      <name val="Calibri"/>
      <family val="2"/>
      <scheme val="minor"/>
    </font>
    <font>
      <b/>
      <sz val="12"/>
      <color theme="6"/>
      <name val="Calibri Light"/>
      <family val="2"/>
      <scheme val="major"/>
    </font>
    <font>
      <b/>
      <sz val="10"/>
      <color theme="6"/>
      <name val="Calibri Light"/>
      <family val="2"/>
      <scheme val="major"/>
    </font>
    <font>
      <b/>
      <sz val="10"/>
      <color theme="0"/>
      <name val="Calibri"/>
      <family val="2"/>
      <scheme val="minor"/>
    </font>
    <font>
      <sz val="10"/>
      <name val="Arial"/>
    </font>
    <font>
      <sz val="10"/>
      <color theme="0"/>
      <name val="Calibri"/>
      <family val="2"/>
      <scheme val="minor"/>
    </font>
    <font>
      <sz val="10"/>
      <color theme="1" tint="0.14999847407452621"/>
      <name val="Calibri"/>
      <family val="2"/>
      <scheme val="minor"/>
    </font>
    <font>
      <sz val="12"/>
      <color theme="0"/>
      <name val="Calibri"/>
      <family val="2"/>
      <scheme val="minor"/>
    </font>
    <font>
      <b/>
      <sz val="43"/>
      <color theme="7" tint="-0.24994659260841701"/>
      <name val="Calibri Light"/>
      <family val="2"/>
      <scheme val="major"/>
    </font>
    <font>
      <b/>
      <sz val="43"/>
      <color theme="7" tint="-0.249977111117893"/>
      <name val="Calibri Light"/>
      <family val="2"/>
      <scheme val="major"/>
    </font>
    <font>
      <b/>
      <sz val="14"/>
      <color theme="5"/>
      <name val="Calibri Light"/>
      <family val="2"/>
      <scheme val="major"/>
    </font>
    <font>
      <sz val="12"/>
      <color theme="1" tint="0.14999847407452621"/>
      <name val="Calibri"/>
      <family val="2"/>
      <scheme val="minor"/>
    </font>
    <font>
      <sz val="8"/>
      <color theme="1" tint="0.14999847407452621"/>
      <name val="Calibri"/>
      <family val="2"/>
      <scheme val="minor"/>
    </font>
    <font>
      <b/>
      <sz val="10"/>
      <color theme="5"/>
      <name val="Calibri"/>
      <family val="2"/>
      <scheme val="minor"/>
    </font>
    <font>
      <sz val="10"/>
      <color theme="1" tint="0.34998626667073579"/>
      <name val="Calibri"/>
      <family val="2"/>
      <scheme val="minor"/>
    </font>
    <font>
      <i/>
      <sz val="7"/>
      <color theme="1" tint="0.14999847407452621"/>
      <name val="Calibri"/>
      <family val="2"/>
      <scheme val="minor"/>
    </font>
    <font>
      <sz val="8"/>
      <color theme="0"/>
      <name val="Calibri"/>
      <family val="2"/>
      <scheme val="minor"/>
    </font>
    <font>
      <b/>
      <sz val="8"/>
      <color theme="1" tint="0.14999847407452621"/>
      <name val="Calibri"/>
      <family val="2"/>
      <scheme val="minor"/>
    </font>
    <font>
      <sz val="10"/>
      <color theme="1" tint="0.14999847407452621"/>
      <name val="Calibri Light"/>
      <family val="2"/>
      <scheme val="major"/>
    </font>
    <font>
      <b/>
      <sz val="10"/>
      <color theme="1" tint="0.14999847407452621"/>
      <name val="Calibri"/>
      <family val="2"/>
      <scheme val="minor"/>
    </font>
    <font>
      <sz val="9"/>
      <color theme="1" tint="0.14999847407452621"/>
      <name val="Calibri"/>
      <family val="2"/>
      <scheme val="minor"/>
    </font>
    <font>
      <sz val="10"/>
      <color theme="1"/>
      <name val="Calibri"/>
      <family val="2"/>
      <scheme val="minor"/>
    </font>
    <font>
      <b/>
      <sz val="12"/>
      <color theme="7" tint="-0.249977111117893"/>
      <name val="Calibri"/>
      <family val="2"/>
      <scheme val="minor"/>
    </font>
    <font>
      <b/>
      <sz val="10"/>
      <color theme="7" tint="-0.249977111117893"/>
      <name val="Calibri"/>
      <family val="2"/>
      <scheme val="minor"/>
    </font>
    <font>
      <sz val="10"/>
      <name val="Arial"/>
      <family val="2"/>
    </font>
    <font>
      <sz val="11"/>
      <color rgb="FF000000"/>
      <name val="Calibri"/>
      <family val="2"/>
    </font>
  </fonts>
  <fills count="4">
    <fill>
      <patternFill patternType="none"/>
    </fill>
    <fill>
      <patternFill patternType="gray125"/>
    </fill>
    <fill>
      <patternFill patternType="solid">
        <fgColor indexed="9"/>
        <bgColor indexed="64"/>
      </patternFill>
    </fill>
    <fill>
      <patternFill patternType="solid">
        <fgColor theme="8"/>
        <bgColor indexed="64"/>
      </patternFill>
    </fill>
  </fills>
  <borders count="10">
    <border>
      <left/>
      <right/>
      <top/>
      <bottom/>
      <diagonal/>
    </border>
    <border>
      <left/>
      <right/>
      <top style="thin">
        <color theme="9"/>
      </top>
      <bottom/>
      <diagonal/>
    </border>
    <border>
      <left/>
      <right style="thin">
        <color theme="9"/>
      </right>
      <top style="thin">
        <color theme="9"/>
      </top>
      <bottom/>
      <diagonal/>
    </border>
    <border>
      <left/>
      <right/>
      <top/>
      <bottom style="medium">
        <color theme="5"/>
      </bottom>
      <diagonal/>
    </border>
    <border>
      <left/>
      <right/>
      <top/>
      <bottom style="thick">
        <color theme="5"/>
      </bottom>
      <diagonal/>
    </border>
    <border>
      <left style="thin">
        <color theme="5"/>
      </left>
      <right style="thin">
        <color theme="5"/>
      </right>
      <top style="thin">
        <color theme="5"/>
      </top>
      <bottom style="thin">
        <color theme="5"/>
      </bottom>
      <diagonal/>
    </border>
    <border>
      <left style="thin">
        <color theme="5"/>
      </left>
      <right/>
      <top style="thin">
        <color theme="5"/>
      </top>
      <bottom style="thin">
        <color theme="5"/>
      </bottom>
      <diagonal/>
    </border>
    <border>
      <left/>
      <right style="thin">
        <color theme="5"/>
      </right>
      <top style="thin">
        <color theme="5"/>
      </top>
      <bottom style="thin">
        <color theme="5"/>
      </bottom>
      <diagonal/>
    </border>
    <border>
      <left/>
      <right/>
      <top style="thin">
        <color theme="5"/>
      </top>
      <bottom/>
      <diagonal/>
    </border>
    <border>
      <left/>
      <right style="thin">
        <color theme="5"/>
      </right>
      <top/>
      <bottom/>
      <diagonal/>
    </border>
  </borders>
  <cellStyleXfs count="16">
    <xf numFmtId="0" fontId="0" fillId="0" borderId="0"/>
    <xf numFmtId="44" fontId="1" fillId="0" borderId="0" applyFont="0" applyFill="0" applyBorder="0" applyAlignment="0" applyProtection="0"/>
    <xf numFmtId="0" fontId="5" fillId="0" borderId="0"/>
    <xf numFmtId="9" fontId="1" fillId="0" borderId="0" applyFont="0" applyFill="0" applyBorder="0" applyAlignment="0" applyProtection="0"/>
    <xf numFmtId="0" fontId="9" fillId="0" borderId="0">
      <alignment wrapText="1"/>
    </xf>
    <xf numFmtId="0" fontId="11" fillId="0" borderId="0">
      <alignment horizontal="right" vertical="center"/>
    </xf>
    <xf numFmtId="0" fontId="12" fillId="0" borderId="0">
      <alignment horizontal="left"/>
    </xf>
    <xf numFmtId="0" fontId="13" fillId="0" borderId="0">
      <alignment horizontal="right"/>
    </xf>
    <xf numFmtId="0" fontId="15" fillId="0" borderId="0"/>
    <xf numFmtId="0" fontId="19" fillId="0" borderId="0">
      <alignment horizontal="right" vertical="center"/>
    </xf>
    <xf numFmtId="0" fontId="21" fillId="0" borderId="0">
      <alignment horizontal="left" vertical="center"/>
    </xf>
    <xf numFmtId="0" fontId="24" fillId="0" borderId="0">
      <alignment horizontal="right" vertical="top"/>
    </xf>
    <xf numFmtId="0" fontId="25" fillId="0" borderId="0" applyNumberFormat="0" applyFill="0" applyBorder="0" applyProtection="0">
      <alignment horizontal="left" vertical="center"/>
    </xf>
    <xf numFmtId="0" fontId="9" fillId="0" borderId="0">
      <alignment horizontal="left"/>
    </xf>
    <xf numFmtId="0" fontId="24" fillId="0" borderId="0">
      <alignment vertical="center"/>
    </xf>
    <xf numFmtId="0" fontId="35" fillId="0" borderId="0"/>
  </cellStyleXfs>
  <cellXfs count="78">
    <xf numFmtId="0" fontId="0" fillId="0" borderId="0" xfId="0"/>
    <xf numFmtId="0" fontId="2" fillId="0" borderId="1" xfId="0" applyFont="1" applyBorder="1" applyAlignment="1">
      <alignment wrapText="1"/>
    </xf>
    <xf numFmtId="164" fontId="2" fillId="0" borderId="2" xfId="1" applyNumberFormat="1" applyFont="1" applyBorder="1" applyAlignment="1">
      <alignment wrapText="1"/>
    </xf>
    <xf numFmtId="0" fontId="3" fillId="0" borderId="0" xfId="0" applyFont="1" applyBorder="1" applyAlignment="1">
      <alignment wrapText="1"/>
    </xf>
    <xf numFmtId="0" fontId="3" fillId="0" borderId="1" xfId="0" applyFont="1" applyBorder="1" applyAlignment="1">
      <alignment wrapText="1"/>
    </xf>
    <xf numFmtId="0" fontId="4" fillId="0" borderId="0" xfId="0" applyFont="1"/>
    <xf numFmtId="0" fontId="0" fillId="0" borderId="0" xfId="0" applyFont="1"/>
    <xf numFmtId="0" fontId="6" fillId="0" borderId="0" xfId="2" applyFont="1"/>
    <xf numFmtId="0" fontId="5" fillId="0" borderId="0" xfId="2"/>
    <xf numFmtId="14" fontId="0" fillId="0" borderId="0" xfId="0" applyNumberFormat="1"/>
    <xf numFmtId="0" fontId="7" fillId="0" borderId="0" xfId="0" applyFont="1"/>
    <xf numFmtId="0" fontId="8" fillId="0" borderId="0" xfId="0" applyFont="1"/>
    <xf numFmtId="0" fontId="8" fillId="0" borderId="0" xfId="0" applyNumberFormat="1" applyFont="1"/>
    <xf numFmtId="0" fontId="6" fillId="0" borderId="0" xfId="2" applyFont="1" applyAlignment="1" applyProtection="1"/>
    <xf numFmtId="44" fontId="0" fillId="0" borderId="0" xfId="1" applyFont="1"/>
    <xf numFmtId="10" fontId="0" fillId="0" borderId="0" xfId="3" applyNumberFormat="1" applyFont="1"/>
    <xf numFmtId="10" fontId="0" fillId="0" borderId="0" xfId="0" applyNumberFormat="1"/>
    <xf numFmtId="44" fontId="8" fillId="0" borderId="0" xfId="1" applyFont="1"/>
    <xf numFmtId="44" fontId="8" fillId="0" borderId="0" xfId="0" applyNumberFormat="1" applyFont="1"/>
    <xf numFmtId="0" fontId="0" fillId="0" borderId="0" xfId="0" applyAlignment="1">
      <alignment wrapText="1"/>
    </xf>
    <xf numFmtId="0" fontId="6" fillId="0" borderId="0" xfId="0" applyFont="1" applyAlignment="1">
      <alignment wrapText="1"/>
    </xf>
    <xf numFmtId="44" fontId="1" fillId="0" borderId="0" xfId="1"/>
    <xf numFmtId="0" fontId="21" fillId="0" borderId="0" xfId="10" applyAlignment="1">
      <alignment horizontal="left"/>
    </xf>
    <xf numFmtId="0" fontId="24" fillId="0" borderId="0" xfId="11" applyAlignment="1">
      <alignment horizontal="right"/>
    </xf>
    <xf numFmtId="0" fontId="25" fillId="0" borderId="0" xfId="12" applyBorder="1">
      <alignment horizontal="left" vertical="center"/>
    </xf>
    <xf numFmtId="0" fontId="24" fillId="0" borderId="0" xfId="11">
      <alignment horizontal="right" vertical="top"/>
    </xf>
    <xf numFmtId="0" fontId="24" fillId="0" borderId="3" xfId="11" applyBorder="1">
      <alignment horizontal="right" vertical="top"/>
    </xf>
    <xf numFmtId="0" fontId="24" fillId="0" borderId="4" xfId="14" applyBorder="1">
      <alignment vertical="center"/>
    </xf>
    <xf numFmtId="0" fontId="14" fillId="0" borderId="4" xfId="14" applyFont="1" applyBorder="1">
      <alignment vertical="center"/>
    </xf>
    <xf numFmtId="0" fontId="17" fillId="2" borderId="5" xfId="14" applyNumberFormat="1" applyFont="1" applyFill="1" applyBorder="1" applyAlignment="1">
      <alignment horizontal="left" vertical="center" indent="1"/>
    </xf>
    <xf numFmtId="0" fontId="17" fillId="2" borderId="6" xfId="14" applyFont="1" applyFill="1" applyBorder="1" applyAlignment="1">
      <alignment horizontal="left" vertical="center" wrapText="1" indent="1"/>
    </xf>
    <xf numFmtId="0" fontId="17" fillId="2" borderId="7" xfId="14" applyFont="1" applyFill="1" applyBorder="1" applyAlignment="1">
      <alignment horizontal="left" vertical="center" wrapText="1" indent="1"/>
    </xf>
    <xf numFmtId="44" fontId="17" fillId="2" borderId="5" xfId="14" applyNumberFormat="1" applyFont="1" applyFill="1" applyBorder="1" applyAlignment="1">
      <alignment horizontal="right" vertical="center" indent="1"/>
    </xf>
    <xf numFmtId="43" fontId="17" fillId="3" borderId="5" xfId="14" applyNumberFormat="1" applyFont="1" applyFill="1" applyBorder="1" applyAlignment="1">
      <alignment horizontal="right" vertical="center" indent="1"/>
    </xf>
    <xf numFmtId="7" fontId="17" fillId="2" borderId="5" xfId="14" applyNumberFormat="1" applyFont="1" applyFill="1" applyBorder="1" applyAlignment="1">
      <alignment horizontal="right" vertical="center" indent="1"/>
    </xf>
    <xf numFmtId="10" fontId="17" fillId="2" borderId="7" xfId="3" applyNumberFormat="1" applyFont="1" applyFill="1" applyBorder="1" applyAlignment="1">
      <alignment horizontal="right" vertical="center" indent="1"/>
    </xf>
    <xf numFmtId="0" fontId="9" fillId="0" borderId="0" xfId="13">
      <alignment horizontal="left"/>
    </xf>
    <xf numFmtId="0" fontId="16" fillId="0" borderId="0" xfId="15" applyFont="1" applyAlignment="1">
      <alignment wrapText="1"/>
    </xf>
    <xf numFmtId="0" fontId="17" fillId="0" borderId="0" xfId="15" applyFont="1"/>
    <xf numFmtId="0" fontId="16" fillId="0" borderId="0" xfId="15" applyFont="1" applyAlignment="1">
      <alignment vertical="top" wrapText="1"/>
    </xf>
    <xf numFmtId="0" fontId="17" fillId="0" borderId="0" xfId="15" applyFont="1" applyAlignment="1">
      <alignment vertical="top"/>
    </xf>
    <xf numFmtId="0" fontId="16" fillId="0" borderId="0" xfId="15" applyFont="1" applyAlignment="1">
      <alignment horizontal="center" vertical="center"/>
    </xf>
    <xf numFmtId="0" fontId="34" fillId="0" borderId="0" xfId="9" applyFont="1">
      <alignment horizontal="right" vertical="center"/>
    </xf>
    <xf numFmtId="0" fontId="9" fillId="0" borderId="0" xfId="9" applyFont="1" applyAlignment="1">
      <alignment horizontal="left"/>
    </xf>
    <xf numFmtId="0" fontId="22" fillId="0" borderId="0" xfId="15" applyFont="1"/>
    <xf numFmtId="0" fontId="23" fillId="0" borderId="0" xfId="15" applyFont="1" applyAlignment="1">
      <alignment horizontal="left"/>
    </xf>
    <xf numFmtId="14" fontId="17" fillId="0" borderId="0" xfId="15" applyNumberFormat="1" applyFont="1" applyAlignment="1">
      <alignment horizontal="left"/>
    </xf>
    <xf numFmtId="1" fontId="17" fillId="0" borderId="0" xfId="15" applyNumberFormat="1" applyFont="1" applyAlignment="1">
      <alignment horizontal="left" vertical="center"/>
    </xf>
    <xf numFmtId="0" fontId="10" fillId="0" borderId="0" xfId="15" applyFont="1" applyAlignment="1">
      <alignment vertical="center" wrapText="1"/>
    </xf>
    <xf numFmtId="0" fontId="17" fillId="0" borderId="3" xfId="15" applyFont="1" applyBorder="1" applyAlignment="1">
      <alignment vertical="top"/>
    </xf>
    <xf numFmtId="0" fontId="26" fillId="0" borderId="3" xfId="15" applyFont="1" applyBorder="1" applyAlignment="1">
      <alignment vertical="top"/>
    </xf>
    <xf numFmtId="1" fontId="17" fillId="0" borderId="3" xfId="15" applyNumberFormat="1" applyFont="1" applyBorder="1" applyAlignment="1">
      <alignment horizontal="left" vertical="top"/>
    </xf>
    <xf numFmtId="0" fontId="23" fillId="0" borderId="0" xfId="15" applyFont="1"/>
    <xf numFmtId="0" fontId="27" fillId="0" borderId="0" xfId="15" applyFont="1" applyAlignment="1">
      <alignment wrapText="1"/>
    </xf>
    <xf numFmtId="0" fontId="28" fillId="0" borderId="0" xfId="15" applyFont="1" applyAlignment="1">
      <alignment horizontal="left"/>
    </xf>
    <xf numFmtId="2" fontId="23" fillId="0" borderId="0" xfId="15" applyNumberFormat="1" applyFont="1"/>
    <xf numFmtId="44" fontId="29" fillId="0" borderId="8" xfId="15" applyNumberFormat="1" applyFont="1" applyBorder="1" applyAlignment="1">
      <alignment horizontal="right"/>
    </xf>
    <xf numFmtId="44" fontId="0" fillId="3" borderId="5" xfId="15" applyNumberFormat="1" applyFont="1" applyFill="1" applyBorder="1" applyAlignment="1">
      <alignment horizontal="right" vertical="center" indent="1"/>
    </xf>
    <xf numFmtId="44" fontId="17" fillId="2" borderId="7" xfId="15" applyNumberFormat="1" applyFont="1" applyFill="1" applyBorder="1" applyAlignment="1">
      <alignment horizontal="right" vertical="center" indent="1"/>
    </xf>
    <xf numFmtId="0" fontId="29" fillId="0" borderId="9" xfId="15" applyFont="1" applyBorder="1" applyAlignment="1">
      <alignment horizontal="right"/>
    </xf>
    <xf numFmtId="44" fontId="0" fillId="3" borderId="7" xfId="15" applyNumberFormat="1" applyFont="1" applyFill="1" applyBorder="1" applyAlignment="1">
      <alignment horizontal="right" vertical="center" indent="1"/>
    </xf>
    <xf numFmtId="0" fontId="35" fillId="0" borderId="0" xfId="15"/>
    <xf numFmtId="44" fontId="30" fillId="3" borderId="7" xfId="15" applyNumberFormat="1" applyFont="1" applyFill="1" applyBorder="1" applyAlignment="1">
      <alignment horizontal="right" vertical="center" indent="1"/>
    </xf>
    <xf numFmtId="0" fontId="31" fillId="2" borderId="0" xfId="15" applyFont="1" applyFill="1" applyAlignment="1">
      <alignment horizontal="center" vertical="center" wrapText="1"/>
    </xf>
    <xf numFmtId="0" fontId="32" fillId="0" borderId="0" xfId="15" applyFont="1" applyAlignment="1">
      <alignment horizontal="right" wrapText="1"/>
    </xf>
    <xf numFmtId="0" fontId="32" fillId="0" borderId="0" xfId="15" applyFont="1" applyAlignment="1">
      <alignment horizontal="left" wrapText="1"/>
    </xf>
    <xf numFmtId="0" fontId="30" fillId="0" borderId="0" xfId="15" applyFont="1" applyAlignment="1">
      <alignment horizontal="center"/>
    </xf>
    <xf numFmtId="0" fontId="23" fillId="2" borderId="0" xfId="15" applyFont="1" applyFill="1" applyAlignment="1">
      <alignment vertical="center" wrapText="1"/>
    </xf>
    <xf numFmtId="2" fontId="17" fillId="2" borderId="5" xfId="14" applyNumberFormat="1" applyFont="1" applyFill="1" applyBorder="1" applyAlignment="1">
      <alignment horizontal="left" vertical="center" indent="1"/>
    </xf>
    <xf numFmtId="0" fontId="33" fillId="0" borderId="0" xfId="15" applyFont="1" applyAlignment="1">
      <alignment horizontal="center" vertical="top" wrapText="1"/>
    </xf>
    <xf numFmtId="0" fontId="32" fillId="0" borderId="0" xfId="15" applyFont="1" applyAlignment="1">
      <alignment horizontal="center" vertical="top"/>
    </xf>
    <xf numFmtId="0" fontId="18" fillId="0" borderId="3" xfId="15" applyFont="1" applyBorder="1" applyAlignment="1">
      <alignment horizontal="center" vertical="center"/>
    </xf>
    <xf numFmtId="0" fontId="20" fillId="0" borderId="3" xfId="9" applyFont="1" applyBorder="1">
      <alignment horizontal="right" vertical="center"/>
    </xf>
    <xf numFmtId="0" fontId="9" fillId="0" borderId="0" xfId="13">
      <alignment horizontal="left"/>
    </xf>
    <xf numFmtId="165" fontId="17" fillId="2" borderId="0" xfId="15" applyNumberFormat="1" applyFont="1" applyFill="1"/>
    <xf numFmtId="0" fontId="17" fillId="2" borderId="0" xfId="15" applyFont="1" applyFill="1"/>
    <xf numFmtId="0" fontId="32" fillId="0" borderId="0" xfId="15" applyFont="1" applyAlignment="1">
      <alignment horizontal="right" wrapText="1"/>
    </xf>
    <xf numFmtId="0" fontId="32" fillId="0" borderId="0" xfId="15" applyFont="1" applyAlignment="1">
      <alignment horizontal="left" wrapText="1"/>
    </xf>
  </cellXfs>
  <cellStyles count="16">
    <cellStyle name="Company name" xfId="10" xr:uid="{27C5FA9B-7B73-45E1-8616-53E640CADDAC}"/>
    <cellStyle name="Currency" xfId="1" builtinId="4"/>
    <cellStyle name="Explanatory Text 2" xfId="12" xr:uid="{AA3F59DF-3A12-4E11-98C1-4A44D597B958}"/>
    <cellStyle name="Invoice" xfId="9" xr:uid="{B912C867-6345-4006-AD1A-6064E081FAD3}"/>
    <cellStyle name="Normal" xfId="0" builtinId="0"/>
    <cellStyle name="Normal 2" xfId="2" xr:uid="{F23BAD40-6700-4F38-B2D3-D02F0C4854BD}"/>
    <cellStyle name="Normal 2 2" xfId="4" xr:uid="{16792668-607E-4490-A041-F5AFEA54C347}"/>
    <cellStyle name="Normal 2 3" xfId="7" xr:uid="{A6B168F4-9778-427E-A81D-DA8C3084188F}"/>
    <cellStyle name="Normal 2 3 2" xfId="6" xr:uid="{73B29513-AA7B-4227-96EC-8CC7D3E30820}"/>
    <cellStyle name="Normal 2 4" xfId="11" xr:uid="{B8C052BD-B0B9-45F0-81E3-A86EFA37A029}"/>
    <cellStyle name="Normal 3" xfId="5" xr:uid="{F17E577F-8788-47EF-B4D2-D32C8A5E4552}"/>
    <cellStyle name="Normal 3 2" xfId="14" xr:uid="{8EC60FBF-18A5-4AEA-82EC-E31C7662EA09}"/>
    <cellStyle name="Normal 4" xfId="8" xr:uid="{4DC9DA29-8D4D-48DF-8414-E11CD6C0B967}"/>
    <cellStyle name="Normal 4 2" xfId="13" xr:uid="{FA683B04-A85C-40EA-B424-EE3071599489}"/>
    <cellStyle name="Normal 4 3" xfId="15" xr:uid="{5B94B5BD-EE9D-4594-810B-588FB66AA795}"/>
    <cellStyle name="Percent" xfId="3" builtinId="5"/>
  </cellStyles>
  <dxfs count="42">
    <dxf>
      <font>
        <b/>
      </font>
    </dxf>
    <dxf>
      <numFmt numFmtId="14" formatCode="0.00%"/>
    </dxf>
    <dxf>
      <numFmt numFmtId="14" formatCode="0.00%"/>
    </dxf>
    <dxf>
      <alignment horizontal="general" vertical="bottom" textRotation="0" wrapText="1" indent="0" justifyLastLine="0" shrinkToFit="0" readingOrder="0"/>
    </dxf>
    <dxf>
      <font>
        <b/>
      </fon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charset val="1"/>
        <scheme val="none"/>
      </font>
      <numFmt numFmtId="164" formatCode="_(\$* #,##0.00_);_(\$* \(#,##0.00\);_(\$* \-??_);_(@_)"/>
      <alignment horizontal="general" vertical="bottom" textRotation="0" wrapText="1" indent="0" justifyLastLine="0" shrinkToFit="0" readingOrder="0"/>
      <border diagonalUp="0" diagonalDown="0">
        <left/>
        <right style="thin">
          <color theme="9"/>
        </right>
        <top style="thin">
          <color theme="9"/>
        </top>
        <bottom/>
        <vertical/>
        <horizontal/>
      </border>
    </dxf>
    <dxf>
      <font>
        <b val="0"/>
        <i val="0"/>
        <strike val="0"/>
        <condense val="0"/>
        <extend val="0"/>
        <outline val="0"/>
        <shadow val="0"/>
        <u val="none"/>
        <vertAlign val="baseline"/>
        <sz val="11"/>
        <color theme="1"/>
        <name val="Calibri"/>
        <family val="2"/>
        <charset val="1"/>
        <scheme val="none"/>
      </font>
      <alignment horizontal="general" vertical="bottom" textRotation="0" wrapText="1"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charset val="1"/>
        <scheme val="none"/>
      </font>
      <alignment horizontal="general" vertical="bottom" textRotation="0" wrapText="1"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charset val="1"/>
        <scheme val="none"/>
      </font>
      <alignment horizontal="general" vertical="bottom" textRotation="0" wrapText="1" indent="0" justifyLastLine="0" shrinkToFit="0" readingOrder="0"/>
      <border diagonalUp="0" diagonalDown="0" outline="0">
        <left/>
        <right/>
        <top style="thin">
          <color theme="9"/>
        </top>
        <bottom/>
      </border>
    </dxf>
    <dxf>
      <font>
        <b/>
        <i val="0"/>
        <strike val="0"/>
        <condense val="0"/>
        <extend val="0"/>
        <outline val="0"/>
        <shadow val="0"/>
        <u val="none"/>
        <vertAlign val="baseline"/>
        <sz val="11"/>
        <color theme="1"/>
        <name val="Calibri"/>
        <family val="2"/>
        <charset val="1"/>
        <scheme val="none"/>
      </font>
      <alignment horizontal="general" vertical="bottom" textRotation="0" wrapText="1" indent="0" justifyLastLine="0" shrinkToFit="0" readingOrder="0"/>
      <border diagonalUp="0" diagonalDown="0" outline="0">
        <left/>
        <right/>
        <top style="thin">
          <color theme="9"/>
        </top>
        <bottom/>
      </border>
    </dxf>
    <dxf>
      <border outline="0">
        <bottom style="thin">
          <color theme="9"/>
        </bottom>
      </border>
    </dxf>
    <dxf>
      <font>
        <b val="0"/>
        <i val="0"/>
        <strike val="0"/>
        <condense val="0"/>
        <extend val="0"/>
        <outline val="0"/>
        <shadow val="0"/>
        <u val="none"/>
        <vertAlign val="baseline"/>
        <sz val="11"/>
        <color theme="1"/>
        <name val="Calibri"/>
        <family val="2"/>
        <charset val="1"/>
        <scheme val="none"/>
      </font>
      <alignment horizontal="general" vertical="bottom" textRotation="0" wrapText="1" indent="0" justifyLastLine="0" shrinkToFit="0" readingOrder="0"/>
    </dxf>
    <dxf>
      <alignment horizontal="general" vertical="bottom" textRotation="0" wrapText="0" indent="0" justifyLastLine="0" shrinkToFit="0" readingOrder="0"/>
      <protection locked="1" hidden="0"/>
    </dxf>
    <dxf>
      <alignment horizontal="general" vertical="bottom" textRotation="0" wrapText="0" indent="0" justifyLastLine="0" shrinkToFit="0" readingOrder="0"/>
      <protection locked="1" hidden="0"/>
    </dxf>
    <dxf>
      <font>
        <b/>
      </font>
      <alignment horizontal="general" vertical="bottom" textRotation="0" wrapText="0" indent="0" justifyLastLine="0" shrinkToFit="0" readingOrder="0"/>
      <protection locked="1" hidden="0"/>
    </dxf>
    <dxf>
      <font>
        <i/>
      </font>
      <numFmt numFmtId="34" formatCode="_(&quot;$&quot;* #,##0.00_);_(&quot;$&quot;* \(#,##0.00\);_(&quot;$&quot;* &quot;-&quot;??_);_(@_)"/>
    </dxf>
    <dxf>
      <font>
        <b val="0"/>
        <i/>
        <strike val="0"/>
        <condense val="0"/>
        <extend val="0"/>
        <outline val="0"/>
        <shadow val="0"/>
        <u val="none"/>
        <vertAlign val="baseline"/>
        <sz val="11"/>
        <color theme="1"/>
        <name val="Calibri"/>
        <family val="2"/>
        <scheme val="minor"/>
      </font>
      <numFmt numFmtId="0" formatCode="General"/>
    </dxf>
    <dxf>
      <font>
        <strike val="0"/>
        <outline val="0"/>
        <shadow val="0"/>
        <u/>
        <vertAlign val="baseline"/>
        <sz val="11"/>
        <color theme="1"/>
        <name val="Calibri"/>
        <family val="2"/>
        <scheme val="minor"/>
      </font>
    </dxf>
    <dxf>
      <font>
        <strike val="0"/>
        <outline val="0"/>
        <shadow val="0"/>
        <u/>
        <vertAlign val="baseline"/>
        <sz val="11"/>
        <color theme="1"/>
        <name val="Calibri"/>
        <family val="2"/>
        <scheme val="minor"/>
      </font>
    </dxf>
    <dxf>
      <font>
        <b/>
      </font>
    </dxf>
    <dxf>
      <font>
        <strike val="0"/>
        <outline val="0"/>
        <shadow val="0"/>
        <u/>
        <vertAlign val="baseline"/>
        <sz val="11"/>
        <color theme="1"/>
        <name val="Calibri"/>
        <family val="2"/>
        <scheme val="minor"/>
      </font>
    </dxf>
    <dxf>
      <font>
        <i/>
      </font>
      <numFmt numFmtId="34" formatCode="_(&quot;$&quot;* #,##0.00_);_(&quot;$&quot;* \(#,##0.00\);_(&quot;$&quot;* &quot;-&quot;??_);_(@_)"/>
    </dxf>
    <dxf>
      <font>
        <i/>
      </font>
      <numFmt numFmtId="34" formatCode="_(&quot;$&quot;* #,##0.00_);_(&quot;$&quot;* \(#,##0.00\);_(&quot;$&quot;* &quot;-&quot;??_);_(@_)"/>
    </dxf>
    <dxf>
      <numFmt numFmtId="14" formatCode="0.00%"/>
    </dxf>
    <dxf>
      <font>
        <i/>
      </font>
    </dxf>
    <dxf>
      <font>
        <b val="0"/>
        <i/>
        <strike val="0"/>
        <condense val="0"/>
        <extend val="0"/>
        <outline val="0"/>
        <shadow val="0"/>
        <u val="none"/>
        <vertAlign val="baseline"/>
        <sz val="11"/>
        <color theme="1"/>
        <name val="Calibri"/>
        <family val="2"/>
        <scheme val="minor"/>
      </font>
    </dxf>
    <dxf>
      <font>
        <strike val="0"/>
        <outline val="0"/>
        <shadow val="0"/>
        <u/>
        <vertAlign val="baseline"/>
        <sz val="11"/>
        <color theme="1"/>
        <name val="Calibri"/>
        <family val="2"/>
        <scheme val="minor"/>
      </font>
    </dxf>
    <dxf>
      <font>
        <b/>
      </font>
    </dxf>
    <dxf>
      <font>
        <b val="0"/>
        <i val="0"/>
        <strike val="0"/>
        <condense val="0"/>
        <extend val="0"/>
        <outline val="0"/>
        <shadow val="0"/>
        <u val="none"/>
        <vertAlign val="baseline"/>
        <sz val="10"/>
        <color theme="1" tint="0.14999847407452621"/>
        <name val="Calibri"/>
        <family val="2"/>
        <scheme val="minor"/>
      </font>
      <numFmt numFmtId="35" formatCode="_(* #,##0.00_);_(* \(#,##0.00\);_(* &quot;-&quot;??_);_(@_)"/>
      <fill>
        <patternFill patternType="solid">
          <fgColor indexed="64"/>
          <bgColor theme="8"/>
        </patternFill>
      </fill>
      <alignment horizontal="right" vertical="center" textRotation="0" wrapText="0" indent="1" justifyLastLine="0" shrinkToFit="0" readingOrder="0"/>
      <border diagonalUp="0" diagonalDown="0">
        <left style="thin">
          <color theme="5"/>
        </left>
        <right style="thin">
          <color theme="5"/>
        </right>
        <top style="thin">
          <color theme="5"/>
        </top>
        <bottom style="thin">
          <color theme="5"/>
        </bottom>
        <vertical/>
        <horizontal/>
      </border>
    </dxf>
    <dxf>
      <font>
        <b val="0"/>
        <i val="0"/>
        <strike val="0"/>
        <condense val="0"/>
        <extend val="0"/>
        <outline val="0"/>
        <shadow val="0"/>
        <u val="none"/>
        <vertAlign val="baseline"/>
        <sz val="10"/>
        <color theme="1" tint="0.14999847407452621"/>
        <name val="Calibri"/>
        <family val="2"/>
        <scheme val="minor"/>
      </font>
      <numFmt numFmtId="34" formatCode="_(&quot;$&quot;* #,##0.00_);_(&quot;$&quot;* \(#,##0.00\);_(&quot;$&quot;* &quot;-&quot;??_);_(@_)"/>
      <fill>
        <patternFill patternType="solid">
          <fgColor indexed="64"/>
          <bgColor indexed="9"/>
        </patternFill>
      </fill>
      <alignment horizontal="right" vertical="center" textRotation="0" wrapText="0" indent="1" justifyLastLine="0" shrinkToFit="0" readingOrder="0"/>
      <border diagonalUp="0" diagonalDown="0">
        <left style="thin">
          <color theme="5"/>
        </left>
        <right style="thin">
          <color theme="5"/>
        </right>
        <top style="thin">
          <color theme="5"/>
        </top>
        <bottom style="thin">
          <color theme="5"/>
        </bottom>
        <vertical/>
        <horizontal/>
      </border>
    </dxf>
    <dxf>
      <font>
        <b val="0"/>
        <i val="0"/>
        <strike val="0"/>
        <condense val="0"/>
        <extend val="0"/>
        <outline val="0"/>
        <shadow val="0"/>
        <u val="none"/>
        <vertAlign val="baseline"/>
        <sz val="10"/>
        <color theme="1" tint="0.14999847407452621"/>
        <name val="Calibri"/>
        <family val="2"/>
        <scheme val="minor"/>
      </font>
      <numFmt numFmtId="35" formatCode="_(* #,##0.00_);_(* \(#,##0.00\);_(* &quot;-&quot;??_);_(@_)"/>
      <fill>
        <patternFill patternType="solid">
          <fgColor indexed="64"/>
          <bgColor indexed="9"/>
        </patternFill>
      </fill>
      <alignment horizontal="right" vertical="center" textRotation="0" wrapText="0" indent="1" justifyLastLine="0" shrinkToFit="0" readingOrder="0"/>
      <border diagonalUp="0" diagonalDown="0">
        <left style="thin">
          <color theme="5"/>
        </left>
        <right style="thin">
          <color theme="5"/>
        </right>
        <top style="thin">
          <color theme="5"/>
        </top>
        <bottom style="thin">
          <color theme="5"/>
        </bottom>
        <vertical/>
        <horizontal/>
      </border>
    </dxf>
    <dxf>
      <font>
        <b val="0"/>
        <i val="0"/>
        <strike val="0"/>
        <condense val="0"/>
        <extend val="0"/>
        <outline val="0"/>
        <shadow val="0"/>
        <u val="none"/>
        <vertAlign val="baseline"/>
        <sz val="10"/>
        <color theme="1" tint="0.14999847407452621"/>
        <name val="Calibri"/>
        <family val="2"/>
        <scheme val="minor"/>
      </font>
      <fill>
        <patternFill patternType="solid">
          <fgColor indexed="64"/>
          <bgColor indexed="9"/>
        </patternFill>
      </fill>
      <alignment horizontal="left" vertical="center" textRotation="0" wrapText="1" indent="1" justifyLastLine="0" shrinkToFit="0" readingOrder="0"/>
      <border diagonalUp="0" diagonalDown="0">
        <left/>
        <right style="thin">
          <color theme="5"/>
        </right>
        <top style="thin">
          <color theme="5"/>
        </top>
        <bottom style="thin">
          <color theme="5"/>
        </bottom>
        <vertical/>
        <horizontal/>
      </border>
    </dxf>
    <dxf>
      <font>
        <b val="0"/>
        <i val="0"/>
        <strike val="0"/>
        <condense val="0"/>
        <extend val="0"/>
        <outline val="0"/>
        <shadow val="0"/>
        <u val="none"/>
        <vertAlign val="baseline"/>
        <sz val="10"/>
        <color theme="1" tint="0.14999847407452621"/>
        <name val="Calibri"/>
        <family val="2"/>
        <scheme val="minor"/>
      </font>
      <fill>
        <patternFill patternType="solid">
          <fgColor indexed="64"/>
          <bgColor indexed="9"/>
        </patternFill>
      </fill>
      <alignment horizontal="left" vertical="center" textRotation="0" wrapText="1" indent="1" justifyLastLine="0" shrinkToFit="0" readingOrder="0"/>
      <border diagonalUp="0" diagonalDown="0">
        <left style="thin">
          <color theme="5"/>
        </left>
        <right/>
        <top style="thin">
          <color theme="5"/>
        </top>
        <bottom style="thin">
          <color theme="5"/>
        </bottom>
        <vertical/>
        <horizontal/>
      </border>
    </dxf>
    <dxf>
      <font>
        <b val="0"/>
        <i val="0"/>
        <strike val="0"/>
        <condense val="0"/>
        <extend val="0"/>
        <outline val="0"/>
        <shadow val="0"/>
        <u val="none"/>
        <vertAlign val="baseline"/>
        <sz val="10"/>
        <color theme="1" tint="0.14999847407452621"/>
        <name val="Calibri"/>
        <family val="2"/>
        <scheme val="minor"/>
      </font>
      <numFmt numFmtId="0" formatCode="General"/>
      <fill>
        <patternFill patternType="solid">
          <fgColor indexed="64"/>
          <bgColor indexed="9"/>
        </patternFill>
      </fill>
      <alignment horizontal="left" vertical="center" textRotation="0" wrapText="0" indent="1" justifyLastLine="0" shrinkToFit="0" readingOrder="0"/>
      <border diagonalUp="0" diagonalDown="0">
        <left style="thin">
          <color theme="5"/>
        </left>
        <right style="thin">
          <color theme="5"/>
        </right>
        <top style="thin">
          <color theme="5"/>
        </top>
        <bottom style="thin">
          <color theme="5"/>
        </bottom>
        <vertical/>
        <horizontal/>
      </border>
    </dxf>
    <dxf>
      <font>
        <b val="0"/>
        <i val="0"/>
        <strike val="0"/>
        <condense val="0"/>
        <extend val="0"/>
        <outline val="0"/>
        <shadow val="0"/>
        <u val="none"/>
        <vertAlign val="baseline"/>
        <sz val="10"/>
        <color theme="1" tint="0.14999847407452621"/>
        <name val="Calibri"/>
        <family val="2"/>
        <scheme val="minor"/>
      </font>
      <numFmt numFmtId="2" formatCode="0.00"/>
      <fill>
        <patternFill patternType="solid">
          <fgColor indexed="64"/>
          <bgColor indexed="9"/>
        </patternFill>
      </fill>
      <alignment horizontal="left" vertical="center" textRotation="0" wrapText="0" indent="1" justifyLastLine="0" shrinkToFit="0" readingOrder="0"/>
      <border diagonalUp="0" diagonalDown="0">
        <left style="thin">
          <color theme="5"/>
        </left>
        <right style="thin">
          <color theme="5"/>
        </right>
        <top style="thin">
          <color theme="5"/>
        </top>
        <bottom style="thin">
          <color theme="5"/>
        </bottom>
        <vertical/>
        <horizontal/>
      </border>
    </dxf>
    <dxf>
      <border outline="0">
        <bottom style="thin">
          <color theme="5"/>
        </bottom>
      </border>
    </dxf>
    <dxf>
      <fill>
        <patternFill>
          <bgColor theme="6" tint="0.79998168889431442"/>
        </patternFill>
      </fill>
    </dxf>
    <dxf>
      <fill>
        <patternFill>
          <bgColor theme="6" tint="0.79998168889431442"/>
        </patternFill>
      </fill>
    </dxf>
    <dxf>
      <fill>
        <patternFill>
          <bgColor theme="6"/>
        </patternFill>
      </fill>
    </dxf>
    <dxf>
      <border>
        <left style="thick">
          <color theme="0"/>
        </left>
        <right style="thick">
          <color theme="0"/>
        </right>
        <top style="thick">
          <color theme="0"/>
        </top>
        <bottom style="thick">
          <color theme="0"/>
        </bottom>
        <vertical style="thick">
          <color theme="0"/>
        </vertical>
        <horizontal style="thick">
          <color theme="0"/>
        </horizontal>
      </border>
    </dxf>
  </dxfs>
  <tableStyles count="1" defaultTableStyle="TableStyleMedium2" defaultPivotStyle="PivotStyleLight16">
    <tableStyle name="Sales invoice simple blue design" pivot="0" count="4" xr9:uid="{BABE755C-ED54-4E4A-8E15-C10866D75657}">
      <tableStyleElement type="wholeTable" dxfId="41"/>
      <tableStyleElement type="headerRow" dxfId="40"/>
      <tableStyleElement type="lastColumn" dxfId="39"/>
      <tableStyleElement type="secondRowStripe" dxfId="3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106680</xdr:colOff>
      <xdr:row>1</xdr:row>
      <xdr:rowOff>143496</xdr:rowOff>
    </xdr:from>
    <xdr:to>
      <xdr:col>2</xdr:col>
      <xdr:colOff>7620</xdr:colOff>
      <xdr:row>1</xdr:row>
      <xdr:rowOff>1041491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9560" y="333996"/>
          <a:ext cx="899160" cy="89799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76200</xdr:colOff>
          <xdr:row>3</xdr:row>
          <xdr:rowOff>198120</xdr:rowOff>
        </xdr:from>
        <xdr:to>
          <xdr:col>10</xdr:col>
          <xdr:colOff>121920</xdr:colOff>
          <xdr:row>5</xdr:row>
          <xdr:rowOff>38100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Autofill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Book1"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Order%20Management%20Demo%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Invoice (2)"/>
      <sheetName val="Sales Invoice"/>
    </sheetNames>
    <sheetDataSet>
      <sheetData sheetId="0" refreshError="1"/>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Invoice (2)"/>
      <sheetName val="Sales Invoice"/>
      <sheetName val="Orders"/>
      <sheetName val="Customers"/>
      <sheetName val="Products"/>
      <sheetName val="Config"/>
      <sheetName val="Order Management Demo - Copy"/>
    </sheetNames>
    <sheetDataSet>
      <sheetData sheetId="0" refreshError="1"/>
      <sheetData sheetId="1"/>
      <sheetData sheetId="2"/>
      <sheetData sheetId="3"/>
      <sheetData sheetId="4"/>
      <sheetData sheetId="5"/>
      <sheetData sheetId="6"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FF6D01C-815A-4326-9694-D17B13519789}" name="InvDetail" displayName="InvDetail" ref="B13:H15" totalsRowShown="0" tableBorderDxfId="37" headerRowCellStyle="Normal 3">
  <tableColumns count="7">
    <tableColumn id="1" xr3:uid="{CA888D5B-5128-4BF8-9E99-954121A6CB94}" name="Qty" dataDxfId="36"/>
    <tableColumn id="2" xr3:uid="{5270DF92-E938-459D-AF43-8967187D78B4}" name="Item #" dataDxfId="35"/>
    <tableColumn id="3" xr3:uid="{2386E738-1771-4E0F-B377-AB1432CC9101}" name="Description" dataDxfId="34"/>
    <tableColumn id="4" xr3:uid="{1E454C50-6C57-460F-A907-212F90C9952C}" name="Column1" dataDxfId="33"/>
    <tableColumn id="5" xr3:uid="{339D8092-1AB0-46A6-B0A4-CCD5F755085C}" name="Unit Price" dataDxfId="32"/>
    <tableColumn id="6" xr3:uid="{335496CE-B6C5-4BB5-8CE5-6E93A71F0CE0}" name="Discount" dataDxfId="31"/>
    <tableColumn id="7" xr3:uid="{2D0A6B21-EE01-4D59-8DA3-EB14E7223488}" name="Line Total" dataDxfId="30">
      <calculatedColumnFormula>IF(SUM(B14)&gt;0,SUM((B14*F14)-G14),"")</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57468C7-FD55-472A-B952-603A2DB09476}" name="OrderSummary" displayName="OrderSummary" ref="A1:I3" totalsRowShown="0">
  <autoFilter ref="A1:I3" xr:uid="{157468C7-FD55-472A-B952-603A2DB09476}"/>
  <tableColumns count="9">
    <tableColumn id="1" xr3:uid="{7E29965B-9DB1-4345-BFA7-8D9DEF938AA9}" name="Order ID" dataDxfId="29"/>
    <tableColumn id="2" xr3:uid="{92BB12BF-7582-4B78-846F-FF44DC697E26}" name="Order Date"/>
    <tableColumn id="3" xr3:uid="{D9E42911-75A8-41B4-A4F6-5F46A1E6D8FB}" name="Customer ID" dataDxfId="28"/>
    <tableColumn id="10" xr3:uid="{7D5997B9-E7AA-463D-BCAF-AA54D083B347}" name="Customer Name" dataDxfId="27">
      <calculatedColumnFormula>_xlfn.CONCAT(VLOOKUP(OrderSummary[[#This Row],[Customer ID]],Customers[#All],2)," ", VLOOKUP(OrderSummary[[#This Row],[Customer ID]],Customers[#All],3))</calculatedColumnFormula>
    </tableColumn>
    <tableColumn id="4" xr3:uid="{31AF5EC3-053B-4660-B76A-8123369151B3}" name="Order Subtotal" dataDxfId="26" dataCellStyle="Currency">
      <calculatedColumnFormula>SUMIF(OrderDetail[Order ID],OrderSummary[[#This Row],[Order ID]],OrderDetail[Line Total])</calculatedColumnFormula>
    </tableColumn>
    <tableColumn id="5" xr3:uid="{0621CFF7-6B5A-49D8-BFEB-7D0B2D9DD8DA}" name="Tax Rate" dataDxfId="25">
      <calculatedColumnFormula array="1">TaxRate[Tax Rate]</calculatedColumnFormula>
    </tableColumn>
    <tableColumn id="6" xr3:uid="{8631F0A6-0E40-4DD4-9B93-91BD6B9F42FB}" name="Tax Amount" dataDxfId="24">
      <calculatedColumnFormula>OrderSummary[[#This Row],[Tax Rate]]*OrderSummary[[#This Row],[Order Subtotal]]</calculatedColumnFormula>
    </tableColumn>
    <tableColumn id="7" xr3:uid="{2068FBB9-F231-4BE0-B46F-5E6ECAC60B3B}" name="Order Total" dataDxfId="23">
      <calculatedColumnFormula>OrderSummary[[#This Row],[Order Subtotal]]+OrderSummary[[#This Row],[Tax Amount]]</calculatedColumnFormula>
    </tableColumn>
    <tableColumn id="8" xr3:uid="{8D004543-8117-4BC1-8519-0BDF3CD2DD35}" name="Order Status" dataDxfId="22"/>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C3225BC-7697-43DB-AB36-9314DBFF3761}" name="OrderDetail" displayName="OrderDetail" ref="A6:G11" totalsRowShown="0">
  <autoFilter ref="A6:G11" xr:uid="{1C3225BC-7697-43DB-AB36-9314DBFF3761}">
    <filterColumn colId="1">
      <filters>
        <filter val="200001"/>
      </filters>
    </filterColumn>
  </autoFilter>
  <tableColumns count="7">
    <tableColumn id="1" xr3:uid="{93408BAF-D4C8-4BFD-92E2-64F3D3F20B2B}" name="Order Detail ID" dataDxfId="21"/>
    <tableColumn id="2" xr3:uid="{161AD97C-DAD9-46AA-A986-1C1C16EA99F9}" name="Order ID" dataDxfId="20"/>
    <tableColumn id="3" xr3:uid="{7CEAC319-0664-4BD3-95AB-19D3489E573C}" name="Product ID" dataDxfId="19"/>
    <tableColumn id="7" xr3:uid="{E3579CF5-248D-4EFE-AB3A-91DC4D2267B4}" name="Product Name" dataDxfId="18">
      <calculatedColumnFormula>_xlfn.CONCAT(VLOOKUP(OrderDetail[[#This Row],[Product ID]],Products[#All],2), " $", VLOOKUP(OrderDetail[[#This Row],[Product ID]],Products[#All],5))</calculatedColumnFormula>
    </tableColumn>
    <tableColumn id="4" xr3:uid="{516613DB-0FCA-4CA0-91D7-D0DA8FE69054}" name="Unit Price" dataCellStyle="Currency"/>
    <tableColumn id="5" xr3:uid="{6B214267-FE15-477B-B2B2-3100A23DF089}" name="Quantity"/>
    <tableColumn id="6" xr3:uid="{3CB52A79-2D2A-489E-803B-3E0AB27614D4}" name="Line Total" dataDxfId="17">
      <calculatedColumnFormula>OrderDetail[[#This Row],[Quantity]]*OrderDetail[[#This Row],[Unit Price]]</calculatedColumnFormula>
    </tableColumn>
  </tableColumns>
  <tableStyleInfo name="TableStyleLight1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0145F2-6D40-40B7-A1B1-7C730EE38129}" name="Customers" displayName="Customers" ref="A1:I3" totalsRowShown="0">
  <autoFilter ref="A1:I3" xr:uid="{00000000-0009-0000-0100-000001000000}"/>
  <tableColumns count="9">
    <tableColumn id="9" xr3:uid="{2336AC30-5524-4BFD-A9E4-8520F88B5388}" name="Customer ID" dataDxfId="16"/>
    <tableColumn id="1" xr3:uid="{4F8B6487-7187-4165-877E-44EED6948543}" name="First Name"/>
    <tableColumn id="2" xr3:uid="{7B8ADBAE-3543-4A43-B555-CB28B19DB79B}" name="Last Name"/>
    <tableColumn id="3" xr3:uid="{07F1144D-3F07-47E9-95CE-DF049FC07B89}" name="Email"/>
    <tableColumn id="4" xr3:uid="{D45E9C43-5F3A-4A53-9D10-BA64E4258D79}" name="Phone"/>
    <tableColumn id="5" xr3:uid="{AB93444D-BA66-4D89-AD4D-A22D072267A4}" name="Address"/>
    <tableColumn id="6" xr3:uid="{12CC9DA3-3A7D-4841-B114-F29C593E5180}" name="City"/>
    <tableColumn id="7" xr3:uid="{DDA31B45-F2DC-40A7-8673-534BDDB07058}" name="State" dataDxfId="15"/>
    <tableColumn id="8" xr3:uid="{0C62E0C1-4DC3-4B39-A23B-B19426FB14B0}" name="Zip Code" dataDxfId="14"/>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0F1FC2-6067-491A-9249-54766E9B80E1}" name="Products" displayName="Products" ref="A1:E21" totalsRowShown="0" dataDxfId="13" tableBorderDxfId="12">
  <autoFilter ref="A1:E21" xr:uid="{D10F1FC2-6067-491A-9249-54766E9B80E1}"/>
  <tableColumns count="5">
    <tableColumn id="5" xr3:uid="{4C94365B-852C-4405-B28C-EA632E0DEDCE}" name="Product ID" dataDxfId="11"/>
    <tableColumn id="1" xr3:uid="{747EA5F7-62AD-4288-B244-9F62970F0289}" name="Product Name" dataDxfId="10"/>
    <tableColumn id="2" xr3:uid="{69D8E645-FDAB-440F-AB75-BDC955ECDFCD}" name="Product Description" dataDxfId="9"/>
    <tableColumn id="3" xr3:uid="{42A93139-F9B9-433C-9B9C-B1BE4442E3A9}" name="Care Instructions" dataDxfId="8"/>
    <tableColumn id="4" xr3:uid="{607EF24E-6929-48B7-B79A-A06D392D82FF}" name="Unit Price" dataDxfId="7" dataCellStyle="Currency"/>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76E1684-08CC-4C45-B977-C6F75A479961}" name="Sizes" displayName="Sizes" ref="K1:M4" totalsRowShown="0" headerRowDxfId="6" dataDxfId="5">
  <autoFilter ref="K1:M4" xr:uid="{F76E1684-08CC-4C45-B977-C6F75A479961}"/>
  <tableColumns count="3">
    <tableColumn id="1" xr3:uid="{282E0B58-0DC8-46BE-85DE-1BC91507B193}" name="Size ID" dataDxfId="4"/>
    <tableColumn id="2" xr3:uid="{E129915A-421E-4228-8E16-C7F6F4AA23F4}" name="Size Description" dataDxfId="3"/>
    <tableColumn id="3" xr3:uid="{3858C690-F385-4898-B9F6-65C5A8102A2A}" name="Addon Price" dataCellStyle="Currency"/>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80A99A7-C435-4908-8FCC-8AB35BBA3671}" name="TaxRate" displayName="TaxRate" ref="A1:A2" totalsRowShown="0" dataDxfId="2" dataCellStyle="Percent">
  <autoFilter ref="A1:A2" xr:uid="{D80A99A7-C435-4908-8FCC-8AB35BBA3671}"/>
  <tableColumns count="1">
    <tableColumn id="1" xr3:uid="{1C2EA505-3E3C-45F8-89D8-E80B7E706EFC}" name="Tax Rate" dataDxfId="1" dataCellStyle="Percen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02E07BD-2472-491B-A19C-B3F59F9F797B}" name="Status" displayName="Status" ref="A4:B7" totalsRowShown="0">
  <autoFilter ref="A4:B7" xr:uid="{502E07BD-2472-491B-A19C-B3F59F9F797B}"/>
  <tableColumns count="2">
    <tableColumn id="1" xr3:uid="{69F07CCC-DE33-4A03-B617-76E6FE107A5F}" name="Status ID" dataDxfId="0"/>
    <tableColumn id="2" xr3:uid="{DF8F7EE4-34F2-412A-93B7-70DA46C7EA66}" name="Status Descriptio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29741-D95B-4A4C-A431-E2AE8FA8D6BE}">
  <sheetPr codeName="Sheet6"/>
  <dimension ref="A1:S42"/>
  <sheetViews>
    <sheetView showGridLines="0" tabSelected="1" topLeftCell="B1" zoomScaleNormal="100" workbookViewId="0">
      <selection activeCell="H5" sqref="H5"/>
    </sheetView>
  </sheetViews>
  <sheetFormatPr defaultColWidth="9.109375" defaultRowHeight="13.8" x14ac:dyDescent="0.3"/>
  <cols>
    <col min="1" max="1" width="2.6640625" style="37" customWidth="1"/>
    <col min="2" max="2" width="14.5546875" style="38" customWidth="1"/>
    <col min="3" max="3" width="10.6640625" style="38" customWidth="1"/>
    <col min="4" max="4" width="31" style="38" customWidth="1"/>
    <col min="5" max="5" width="17.109375" style="38" customWidth="1"/>
    <col min="6" max="6" width="17.5546875" style="38" customWidth="1"/>
    <col min="7" max="7" width="17.33203125" style="38" customWidth="1"/>
    <col min="8" max="8" width="15.33203125" style="38" customWidth="1"/>
    <col min="9" max="9" width="2.6640625" style="38" customWidth="1"/>
    <col min="10" max="16384" width="9.109375" style="38"/>
  </cols>
  <sheetData>
    <row r="1" spans="1:8" ht="15" customHeight="1" x14ac:dyDescent="0.3"/>
    <row r="2" spans="1:8" s="40" customFormat="1" ht="85.5" customHeight="1" thickBot="1" x14ac:dyDescent="0.35">
      <c r="A2" s="39"/>
      <c r="B2" s="71"/>
      <c r="C2" s="71"/>
      <c r="D2" s="72" t="s">
        <v>115</v>
      </c>
      <c r="E2" s="72"/>
      <c r="F2" s="72"/>
      <c r="G2" s="72"/>
      <c r="H2" s="72"/>
    </row>
    <row r="3" spans="1:8" s="40" customFormat="1" x14ac:dyDescent="0.3">
      <c r="A3" s="39"/>
      <c r="B3" s="41"/>
      <c r="C3" s="41"/>
      <c r="D3" s="42"/>
      <c r="E3" s="42"/>
      <c r="F3" s="42"/>
      <c r="G3" s="23" t="s">
        <v>138</v>
      </c>
      <c r="H3" s="43"/>
    </row>
    <row r="4" spans="1:8" ht="18" x14ac:dyDescent="0.35">
      <c r="B4" s="22" t="s">
        <v>137</v>
      </c>
      <c r="C4" s="22"/>
      <c r="D4" s="22"/>
      <c r="E4" s="44"/>
      <c r="F4" s="45"/>
      <c r="G4" s="23" t="s">
        <v>116</v>
      </c>
      <c r="H4" s="46">
        <f>VLOOKUP(invOrderID,OrderSummary[],2)</f>
        <v>45187</v>
      </c>
    </row>
    <row r="5" spans="1:8" ht="15" customHeight="1" x14ac:dyDescent="0.3">
      <c r="B5" s="24" t="s">
        <v>139</v>
      </c>
      <c r="C5" s="24"/>
      <c r="D5" s="24"/>
      <c r="E5" s="44"/>
      <c r="G5" s="25" t="s">
        <v>117</v>
      </c>
      <c r="H5" s="47">
        <v>200001</v>
      </c>
    </row>
    <row r="6" spans="1:8" s="40" customFormat="1" ht="28.5" customHeight="1" thickBot="1" x14ac:dyDescent="0.35">
      <c r="A6" s="48"/>
      <c r="B6" s="49"/>
      <c r="C6" s="49"/>
      <c r="D6" s="49"/>
      <c r="E6" s="50"/>
      <c r="F6" s="49"/>
      <c r="G6" s="26" t="s">
        <v>118</v>
      </c>
      <c r="H6" s="51">
        <f>VLOOKUP(invOrderID,OrderSummary[],3)</f>
        <v>32348</v>
      </c>
    </row>
    <row r="7" spans="1:8" s="52" customFormat="1" ht="36.6" customHeight="1" x14ac:dyDescent="0.3">
      <c r="A7" s="48"/>
      <c r="B7" s="23" t="s">
        <v>119</v>
      </c>
      <c r="C7" s="73" t="s">
        <v>120</v>
      </c>
      <c r="D7" s="73"/>
      <c r="E7" s="23" t="s">
        <v>136</v>
      </c>
      <c r="F7" s="36" t="s">
        <v>120</v>
      </c>
      <c r="G7" s="36"/>
    </row>
    <row r="8" spans="1:8" s="52" customFormat="1" ht="14.1" customHeight="1" x14ac:dyDescent="0.3">
      <c r="A8" s="53"/>
      <c r="B8" s="54"/>
      <c r="C8" s="73" t="s">
        <v>121</v>
      </c>
      <c r="D8" s="73"/>
      <c r="F8" s="36" t="s">
        <v>121</v>
      </c>
      <c r="G8" s="36"/>
    </row>
    <row r="9" spans="1:8" s="52" customFormat="1" ht="14.1" customHeight="1" x14ac:dyDescent="0.3">
      <c r="A9" s="53"/>
      <c r="C9" s="36" t="s">
        <v>122</v>
      </c>
      <c r="D9" s="36"/>
      <c r="F9" s="36" t="s">
        <v>122</v>
      </c>
      <c r="G9" s="36"/>
    </row>
    <row r="10" spans="1:8" s="52" customFormat="1" ht="14.1" customHeight="1" x14ac:dyDescent="0.3">
      <c r="A10" s="53"/>
      <c r="C10" s="36" t="s">
        <v>123</v>
      </c>
      <c r="D10" s="36"/>
      <c r="E10" s="45"/>
      <c r="F10" s="36" t="s">
        <v>123</v>
      </c>
      <c r="G10" s="36"/>
    </row>
    <row r="11" spans="1:8" s="52" customFormat="1" ht="14.1" customHeight="1" x14ac:dyDescent="0.3">
      <c r="A11" s="53"/>
      <c r="C11" s="36" t="s">
        <v>69</v>
      </c>
      <c r="D11" s="36"/>
      <c r="F11" s="36" t="s">
        <v>69</v>
      </c>
      <c r="G11" s="36"/>
    </row>
    <row r="12" spans="1:8" ht="26.25" customHeight="1" x14ac:dyDescent="0.3">
      <c r="B12" s="74"/>
      <c r="C12" s="74"/>
      <c r="D12" s="75"/>
      <c r="E12" s="75"/>
      <c r="F12" s="75"/>
      <c r="G12" s="75"/>
      <c r="H12" s="75"/>
    </row>
    <row r="13" spans="1:8" ht="18.75" customHeight="1" thickBot="1" x14ac:dyDescent="0.35">
      <c r="B13" s="27" t="s">
        <v>124</v>
      </c>
      <c r="C13" s="27" t="s">
        <v>125</v>
      </c>
      <c r="D13" s="27" t="s">
        <v>126</v>
      </c>
      <c r="E13" s="28" t="s">
        <v>134</v>
      </c>
      <c r="F13" s="27" t="s">
        <v>3</v>
      </c>
      <c r="G13" s="27" t="s">
        <v>127</v>
      </c>
      <c r="H13" s="27" t="s">
        <v>90</v>
      </c>
    </row>
    <row r="14" spans="1:8" ht="15" customHeight="1" thickTop="1" x14ac:dyDescent="0.3">
      <c r="B14" s="68">
        <v>1</v>
      </c>
      <c r="C14" s="29">
        <v>1001</v>
      </c>
      <c r="D14" s="30" t="s">
        <v>140</v>
      </c>
      <c r="E14" s="31"/>
      <c r="F14" s="34">
        <v>16</v>
      </c>
      <c r="G14" s="32"/>
      <c r="H14" s="33">
        <f>IF(SUM(B14)&gt;0,SUM((B14*F14)-G14),"")</f>
        <v>16</v>
      </c>
    </row>
    <row r="15" spans="1:8" ht="15" customHeight="1" x14ac:dyDescent="0.3">
      <c r="B15" s="68">
        <v>2</v>
      </c>
      <c r="C15" s="29">
        <v>1002</v>
      </c>
      <c r="D15" s="30" t="s">
        <v>141</v>
      </c>
      <c r="E15" s="31"/>
      <c r="F15" s="34">
        <v>19</v>
      </c>
      <c r="G15" s="32"/>
      <c r="H15" s="33">
        <f>IF(SUM(B15)&gt;0,SUM((B15*F15)-G15),"")</f>
        <v>38</v>
      </c>
    </row>
    <row r="16" spans="1:8" ht="15" customHeight="1" x14ac:dyDescent="0.3">
      <c r="B16" s="55"/>
      <c r="C16" s="52"/>
      <c r="D16" s="52"/>
      <c r="E16" s="52"/>
      <c r="F16" s="56" t="s">
        <v>128</v>
      </c>
      <c r="G16" s="57" t="str">
        <f>IF(SUM(G14:G15)&gt;0,SUM(G14:G15),"")</f>
        <v/>
      </c>
      <c r="H16" s="58"/>
    </row>
    <row r="17" spans="2:8" ht="15" customHeight="1" x14ac:dyDescent="0.3">
      <c r="B17" s="52"/>
      <c r="C17" s="52"/>
      <c r="D17" s="52"/>
      <c r="E17" s="52"/>
      <c r="F17" s="52"/>
      <c r="G17" s="59" t="s">
        <v>129</v>
      </c>
      <c r="H17" s="60">
        <f>IF(SUM(H14:H15)&gt;0,SUM(H14:H15),"")</f>
        <v>54</v>
      </c>
    </row>
    <row r="18" spans="2:8" ht="15" customHeight="1" x14ac:dyDescent="0.3">
      <c r="B18" s="52"/>
      <c r="C18" s="52"/>
      <c r="D18" s="52"/>
      <c r="E18" s="52"/>
      <c r="F18" s="52"/>
      <c r="G18" s="59" t="s">
        <v>130</v>
      </c>
      <c r="H18" s="35">
        <f>VLOOKUP(invOrderID,OrderSummary[],6)</f>
        <v>8.2500000000000004E-2</v>
      </c>
    </row>
    <row r="19" spans="2:8" ht="15" customHeight="1" x14ac:dyDescent="0.3">
      <c r="B19" s="61"/>
      <c r="C19" s="52"/>
      <c r="D19" s="52"/>
      <c r="E19" s="52"/>
      <c r="F19" s="52"/>
      <c r="G19" s="59" t="s">
        <v>131</v>
      </c>
      <c r="H19" s="62">
        <f>IF(SUM(H17)&gt;0,SUM((H17*H18)+H17),"")</f>
        <v>58.454999999999998</v>
      </c>
    </row>
    <row r="20" spans="2:8" ht="15" customHeight="1" x14ac:dyDescent="0.3">
      <c r="B20" s="63"/>
      <c r="C20" s="63"/>
      <c r="D20" s="63"/>
      <c r="E20" s="63"/>
      <c r="F20" s="63"/>
      <c r="G20" s="63"/>
      <c r="H20" s="63"/>
    </row>
    <row r="21" spans="2:8" ht="15" customHeight="1" x14ac:dyDescent="0.3">
      <c r="B21" s="76" t="s">
        <v>135</v>
      </c>
      <c r="C21" s="76"/>
      <c r="D21" s="76"/>
      <c r="E21" s="76"/>
      <c r="F21" s="77" t="str">
        <f>B4</f>
        <v>Zombie Company</v>
      </c>
      <c r="G21" s="77"/>
      <c r="H21" s="77"/>
    </row>
    <row r="22" spans="2:8" ht="15" customHeight="1" x14ac:dyDescent="0.3">
      <c r="B22" s="64"/>
      <c r="C22" s="64"/>
      <c r="D22" s="64"/>
      <c r="E22" s="64"/>
      <c r="F22" s="65"/>
      <c r="G22" s="65"/>
      <c r="H22" s="65"/>
    </row>
    <row r="23" spans="2:8" ht="15" customHeight="1" x14ac:dyDescent="0.3">
      <c r="B23" s="69" t="s">
        <v>132</v>
      </c>
      <c r="C23" s="69"/>
      <c r="D23" s="69"/>
      <c r="E23" s="69"/>
      <c r="F23" s="69"/>
      <c r="G23" s="69"/>
      <c r="H23" s="69"/>
    </row>
    <row r="24" spans="2:8" ht="15" customHeight="1" x14ac:dyDescent="0.3">
      <c r="B24" s="70" t="s">
        <v>133</v>
      </c>
      <c r="C24" s="70"/>
      <c r="D24" s="70"/>
      <c r="E24" s="70"/>
      <c r="F24" s="70"/>
      <c r="G24" s="70"/>
      <c r="H24" s="70"/>
    </row>
    <row r="25" spans="2:8" ht="15" customHeight="1" x14ac:dyDescent="0.3">
      <c r="B25" s="66"/>
      <c r="C25" s="66"/>
      <c r="D25" s="66"/>
      <c r="E25" s="66"/>
      <c r="F25" s="66"/>
      <c r="G25" s="66"/>
    </row>
    <row r="26" spans="2:8" ht="15" customHeight="1" x14ac:dyDescent="0.3"/>
    <row r="27" spans="2:8" ht="15" customHeight="1" x14ac:dyDescent="0.3"/>
    <row r="28" spans="2:8" ht="15" customHeight="1" x14ac:dyDescent="0.3"/>
    <row r="29" spans="2:8" ht="15" customHeight="1" x14ac:dyDescent="0.3"/>
    <row r="30" spans="2:8" ht="15" customHeight="1" x14ac:dyDescent="0.3"/>
    <row r="31" spans="2:8" ht="15" customHeight="1" x14ac:dyDescent="0.3"/>
    <row r="32" spans="2:8" ht="15" customHeight="1" x14ac:dyDescent="0.3"/>
    <row r="33" spans="1:19" ht="15" customHeight="1" x14ac:dyDescent="0.3">
      <c r="M33" s="67"/>
      <c r="N33" s="67"/>
      <c r="O33" s="67"/>
      <c r="P33" s="67"/>
      <c r="Q33" s="67"/>
      <c r="R33" s="67"/>
      <c r="S33" s="67"/>
    </row>
    <row r="34" spans="1:19" ht="15" customHeight="1" x14ac:dyDescent="0.3">
      <c r="M34" s="67"/>
      <c r="N34" s="67"/>
      <c r="O34" s="67"/>
      <c r="P34" s="67"/>
      <c r="Q34" s="67"/>
      <c r="R34" s="67"/>
      <c r="S34" s="67"/>
    </row>
    <row r="35" spans="1:19" ht="15" customHeight="1" x14ac:dyDescent="0.3"/>
    <row r="36" spans="1:19" ht="15" customHeight="1" x14ac:dyDescent="0.3"/>
    <row r="37" spans="1:19" s="52" customFormat="1" ht="15" customHeight="1" x14ac:dyDescent="0.3">
      <c r="A37" s="53"/>
      <c r="B37" s="38"/>
      <c r="C37" s="38"/>
      <c r="D37" s="38"/>
      <c r="E37" s="38"/>
      <c r="F37" s="38"/>
      <c r="G37" s="38"/>
      <c r="H37" s="38"/>
    </row>
    <row r="38" spans="1:19" ht="39.9" customHeight="1" x14ac:dyDescent="0.3"/>
    <row r="39" spans="1:19" ht="15" customHeight="1" x14ac:dyDescent="0.3"/>
    <row r="40" spans="1:19" ht="15" hidden="1" customHeight="1" x14ac:dyDescent="0.3"/>
    <row r="41" spans="1:19" s="40" customFormat="1" ht="24.9" customHeight="1" x14ac:dyDescent="0.3">
      <c r="A41" s="48"/>
      <c r="B41" s="38"/>
      <c r="C41" s="38"/>
      <c r="D41" s="38"/>
      <c r="E41" s="38"/>
      <c r="F41" s="38"/>
      <c r="G41" s="38"/>
      <c r="H41" s="38"/>
    </row>
    <row r="42" spans="1:19" ht="15" customHeight="1" x14ac:dyDescent="0.3">
      <c r="A42" s="48"/>
    </row>
  </sheetData>
  <mergeCells count="9">
    <mergeCell ref="B23:H23"/>
    <mergeCell ref="B24:H24"/>
    <mergeCell ref="B2:C2"/>
    <mergeCell ref="D2:H2"/>
    <mergeCell ref="C7:D7"/>
    <mergeCell ref="C8:D8"/>
    <mergeCell ref="B12:H12"/>
    <mergeCell ref="B21:E21"/>
    <mergeCell ref="F21:H21"/>
  </mergeCells>
  <dataValidations count="13">
    <dataValidation allowBlank="1" showInputMessage="1" showErrorMessage="1" prompt="Logo placeholder is in this cell." sqref="B2:C3" xr:uid="{FF6E2B4D-9D3C-43FE-A7BE-ED1670F80337}"/>
    <dataValidation allowBlank="1" showInputMessage="1" showErrorMessage="1" prompt="Create a Sales Invoice in this worksheet. Helpful instructions on how to use this worksheet are in cells in this column. Arrow down to get started." sqref="A1" xr:uid="{9461A942-370F-4D4E-A77A-09DDAB2D593A}"/>
    <dataValidation allowBlank="1" showInputMessage="1" showErrorMessage="1" prompt="Enter Company Logo in cell at right. Title of this worksheet is in cell D2." sqref="A2:A3" xr:uid="{307B9D6C-B983-4176-B64D-F4F71B71701A}"/>
    <dataValidation allowBlank="1" showInputMessage="1" showErrorMessage="1" prompt="Enter Company Name in cell at right and Date in cell H3." sqref="A4" xr:uid="{84F65A31-09C2-47CD-93DE-ABFA44425F46}"/>
    <dataValidation allowBlank="1" showInputMessage="1" showErrorMessage="1" prompt="Enter Company Slogan in cell at right and Invoice number in cell H4." sqref="A5" xr:uid="{BFDB33F7-7349-41D8-B33D-5A18C7CB9B3F}"/>
    <dataValidation allowBlank="1" showInputMessage="1" showErrorMessage="1" prompt="Enter information in Invoice table starting in cell at right. Total Discount, Subtotal, and Total are auto calculated. Next instruction is in cell A41." sqref="A13" xr:uid="{873FE115-E213-46EA-9FD6-F9DB9E2674FD}"/>
    <dataValidation allowBlank="1" showInputMessage="1" showErrorMessage="1" prompt="Company Name is auto updated in cell F41." sqref="A39:A40" xr:uid="{DFDA2AFB-D67E-495D-8DBD-7A36C14520F9}"/>
    <dataValidation allowBlank="1" showInputMessage="1" showErrorMessage="1" prompt="Enter Customer ID in cell H5." sqref="A6" xr:uid="{F84D3E26-F349-469B-A628-2C13B37DD425}"/>
    <dataValidation allowBlank="1" showInputMessage="1" showErrorMessage="1" prompt="To label is in cell at right and Ship to label in cell E6. Enter bill To details such as Name, Company Name, Address, and Phone number in cells C6 through C10, and Ship To details in cells F6 through F10. Next instruction is in cell A12." sqref="A7" xr:uid="{969D6BCD-4BEF-42CC-A392-EA7940EC1447}"/>
    <dataValidation allowBlank="1" showInputMessage="1" showErrorMessage="1" prompt="Thank You message is in cell at right." sqref="A41" xr:uid="{B8173FEA-740A-4631-A0E4-C87419BE7724}"/>
    <dataValidation allowBlank="1" showInputMessage="1" showErrorMessage="1" prompt="Enter Company Street Address, City, State, ZIP Code, Phone and Fax numbers, and E-mail address in cell at right." sqref="A42" xr:uid="{ADD244CE-0231-4B7B-AFAC-9BFFF75C561B}"/>
    <dataValidation allowBlank="1" showInputMessage="1" showErrorMessage="1" prompt="Custom column" sqref="E13" xr:uid="{5C9ECB2D-BED8-436A-9416-8EE6EA9E6D51}"/>
    <dataValidation type="list" allowBlank="1" showInputMessage="1" showErrorMessage="1" sqref="H5" xr:uid="{0190BFAF-DCAC-44B4-9D99-1CBF1B688DCA}">
      <formula1>PK_OrderID</formula1>
    </dataValidation>
  </dataValidations>
  <printOptions horizontalCentered="1"/>
  <pageMargins left="0.75" right="0.75" top="0.5" bottom="0.5"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ThisWorkbook.AutoFillInvoice">
                <anchor moveWithCells="1" sizeWithCells="1">
                  <from>
                    <xdr:col>9</xdr:col>
                    <xdr:colOff>76200</xdr:colOff>
                    <xdr:row>3</xdr:row>
                    <xdr:rowOff>198120</xdr:rowOff>
                  </from>
                  <to>
                    <xdr:col>10</xdr:col>
                    <xdr:colOff>121920</xdr:colOff>
                    <xdr:row>5</xdr:row>
                    <xdr:rowOff>38100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30E94-EA2C-40B1-BCF9-9BFB6B694B02}">
  <sheetPr codeName="Sheet1"/>
  <dimension ref="A1:I11"/>
  <sheetViews>
    <sheetView zoomScale="110" zoomScaleNormal="110" workbookViewId="0">
      <selection sqref="A1:A3"/>
    </sheetView>
  </sheetViews>
  <sheetFormatPr defaultRowHeight="14.4" x14ac:dyDescent="0.3"/>
  <cols>
    <col min="1" max="1" width="15.5546875" bestFit="1" customWidth="1"/>
    <col min="2" max="2" width="12.33203125" bestFit="1" customWidth="1"/>
    <col min="3" max="3" width="13.5546875" bestFit="1" customWidth="1"/>
    <col min="4" max="4" width="23.33203125" customWidth="1"/>
    <col min="5" max="5" width="15.6640625" bestFit="1" customWidth="1"/>
    <col min="6" max="6" width="13.44140625" bestFit="1" customWidth="1"/>
    <col min="7" max="7" width="14.6640625" customWidth="1"/>
    <col min="8" max="8" width="13.6640625" bestFit="1" customWidth="1"/>
    <col min="9" max="9" width="14.33203125" customWidth="1"/>
    <col min="10" max="10" width="14.5546875" bestFit="1" customWidth="1"/>
    <col min="11" max="11" width="10.21875" bestFit="1" customWidth="1"/>
    <col min="12" max="12" width="12.109375" bestFit="1" customWidth="1"/>
    <col min="13" max="13" width="11.33203125" bestFit="1" customWidth="1"/>
    <col min="14" max="14" width="10.5546875" bestFit="1" customWidth="1"/>
    <col min="15" max="15" width="11.33203125" bestFit="1" customWidth="1"/>
  </cols>
  <sheetData>
    <row r="1" spans="1:9" x14ac:dyDescent="0.3">
      <c r="A1" t="s">
        <v>81</v>
      </c>
      <c r="B1" t="s">
        <v>82</v>
      </c>
      <c r="C1" s="6" t="s">
        <v>65</v>
      </c>
      <c r="D1" s="6" t="s">
        <v>83</v>
      </c>
      <c r="E1" t="s">
        <v>84</v>
      </c>
      <c r="F1" t="s">
        <v>85</v>
      </c>
      <c r="G1" t="s">
        <v>86</v>
      </c>
      <c r="H1" t="s">
        <v>87</v>
      </c>
      <c r="I1" t="s">
        <v>88</v>
      </c>
    </row>
    <row r="2" spans="1:9" x14ac:dyDescent="0.3">
      <c r="A2" s="5">
        <v>200001</v>
      </c>
      <c r="B2" s="9">
        <v>45187</v>
      </c>
      <c r="C2" s="10">
        <v>32348</v>
      </c>
      <c r="D2" s="11" t="str">
        <f>_xlfn.CONCAT(VLOOKUP(OrderSummary[[#This Row],[Customer ID]],Customers[#All],2)," ", VLOOKUP(OrderSummary[[#This Row],[Customer ID]],Customers[#All],3))</f>
        <v>Mia Walker</v>
      </c>
      <c r="E2" s="17">
        <f>SUMIF(OrderDetail[Order ID],OrderSummary[[#This Row],[Order ID]],OrderDetail[Line Total])</f>
        <v>54</v>
      </c>
      <c r="F2" s="16" cm="1">
        <f t="array" ref="F2">TaxRate[Tax Rate]</f>
        <v>8.2500000000000004E-2</v>
      </c>
      <c r="G2" s="18">
        <f>OrderSummary[[#This Row],[Tax Rate]]*OrderSummary[[#This Row],[Order Subtotal]]</f>
        <v>4.4550000000000001</v>
      </c>
      <c r="H2" s="18">
        <f>OrderSummary[[#This Row],[Order Subtotal]]+OrderSummary[[#This Row],[Tax Amount]]</f>
        <v>58.454999999999998</v>
      </c>
      <c r="I2" s="10" t="s">
        <v>98</v>
      </c>
    </row>
    <row r="3" spans="1:9" x14ac:dyDescent="0.3">
      <c r="A3" s="5">
        <v>200002</v>
      </c>
      <c r="B3" s="9">
        <v>45187</v>
      </c>
      <c r="C3" s="10">
        <v>32349</v>
      </c>
      <c r="D3" s="12" t="str">
        <f>_xlfn.CONCAT(VLOOKUP(OrderSummary[[#This Row],[Customer ID]],Customers[#All],2)," ", VLOOKUP(OrderSummary[[#This Row],[Customer ID]],Customers[#All],3))</f>
        <v>Evelyn Clark</v>
      </c>
      <c r="E3" s="17">
        <f>SUMIF(OrderDetail[Order ID],OrderSummary[[#This Row],[Order ID]],OrderDetail[Line Total])</f>
        <v>219</v>
      </c>
      <c r="F3" s="16" cm="1">
        <f t="array" ref="F3">TaxRate[Tax Rate]</f>
        <v>8.2500000000000004E-2</v>
      </c>
      <c r="G3" s="18">
        <f>OrderSummary[[#This Row],[Tax Rate]]*OrderSummary[[#This Row],[Order Subtotal]]</f>
        <v>18.067500000000003</v>
      </c>
      <c r="H3" s="18">
        <f>OrderSummary[[#This Row],[Order Subtotal]]+OrderSummary[[#This Row],[Tax Amount]]</f>
        <v>237.0675</v>
      </c>
      <c r="I3" s="10" t="s">
        <v>98</v>
      </c>
    </row>
    <row r="4" spans="1:9" x14ac:dyDescent="0.3">
      <c r="A4" s="5"/>
      <c r="C4" s="10"/>
      <c r="D4" s="12"/>
    </row>
    <row r="5" spans="1:9" x14ac:dyDescent="0.3">
      <c r="A5" s="5"/>
      <c r="C5" s="10"/>
      <c r="D5" s="12"/>
    </row>
    <row r="6" spans="1:9" x14ac:dyDescent="0.3">
      <c r="A6" t="s">
        <v>91</v>
      </c>
      <c r="B6" t="s">
        <v>81</v>
      </c>
      <c r="C6" t="s">
        <v>64</v>
      </c>
      <c r="D6" t="s">
        <v>0</v>
      </c>
      <c r="E6" t="s">
        <v>3</v>
      </c>
      <c r="F6" t="s">
        <v>89</v>
      </c>
      <c r="G6" t="s">
        <v>90</v>
      </c>
    </row>
    <row r="7" spans="1:9" x14ac:dyDescent="0.3">
      <c r="A7" s="5">
        <v>1</v>
      </c>
      <c r="B7" s="10">
        <v>200001</v>
      </c>
      <c r="C7" s="10">
        <v>1001</v>
      </c>
      <c r="D7" s="11" t="str">
        <f>_xlfn.CONCAT(VLOOKUP(OrderDetail[[#This Row],[Product ID]],Products[#All],2), " $", VLOOKUP(OrderDetail[[#This Row],[Product ID]],Products[#All],5))</f>
        <v>Zebra Plant $16</v>
      </c>
      <c r="E7" s="14">
        <v>16</v>
      </c>
      <c r="F7">
        <v>1</v>
      </c>
      <c r="G7" s="18">
        <f>OrderDetail[[#This Row],[Quantity]]*OrderDetail[[#This Row],[Unit Price]]</f>
        <v>16</v>
      </c>
    </row>
    <row r="8" spans="1:9" x14ac:dyDescent="0.3">
      <c r="A8" s="5">
        <v>2</v>
      </c>
      <c r="B8" s="10">
        <v>200001</v>
      </c>
      <c r="C8" s="10">
        <v>1002</v>
      </c>
      <c r="D8" s="11" t="str">
        <f>_xlfn.CONCAT(VLOOKUP(OrderDetail[[#This Row],[Product ID]],Products[#All],2), " $", VLOOKUP(OrderDetail[[#This Row],[Product ID]],Products[#All],5))</f>
        <v>Pilea Friendship Plant $19</v>
      </c>
      <c r="E8" s="14">
        <v>19</v>
      </c>
      <c r="F8">
        <v>2</v>
      </c>
      <c r="G8" s="18">
        <f>OrderDetail[[#This Row],[Quantity]]*OrderDetail[[#This Row],[Unit Price]]</f>
        <v>38</v>
      </c>
    </row>
    <row r="9" spans="1:9" hidden="1" x14ac:dyDescent="0.3">
      <c r="A9" s="5">
        <v>3</v>
      </c>
      <c r="B9" s="10">
        <v>200002</v>
      </c>
      <c r="C9" s="10">
        <v>1003</v>
      </c>
      <c r="D9" s="12" t="str">
        <f>_xlfn.CONCAT(VLOOKUP(OrderDetail[[#This Row],[Product ID]],Products[#All],2), " $", VLOOKUP(OrderDetail[[#This Row],[Product ID]],Products[#All],5))</f>
        <v>Rattlesnake Plant $19</v>
      </c>
      <c r="E9" s="14">
        <v>19</v>
      </c>
      <c r="F9">
        <v>3</v>
      </c>
      <c r="G9" s="18">
        <f>OrderDetail[[#This Row],[Quantity]]*OrderDetail[[#This Row],[Unit Price]]</f>
        <v>57</v>
      </c>
    </row>
    <row r="10" spans="1:9" hidden="1" x14ac:dyDescent="0.3">
      <c r="A10" s="5">
        <v>4</v>
      </c>
      <c r="B10" s="10">
        <v>200002</v>
      </c>
      <c r="C10" s="10">
        <v>1004</v>
      </c>
      <c r="D10" s="12" t="str">
        <f>_xlfn.CONCAT(VLOOKUP(OrderDetail[[#This Row],[Product ID]],Products[#All],2), " $", VLOOKUP(OrderDetail[[#This Row],[Product ID]],Products[#All],5))</f>
        <v>Swiss Cheese Plant $18</v>
      </c>
      <c r="E10" s="14">
        <v>18</v>
      </c>
      <c r="F10">
        <v>4</v>
      </c>
      <c r="G10" s="18">
        <f>OrderDetail[[#This Row],[Quantity]]*OrderDetail[[#This Row],[Unit Price]]</f>
        <v>72</v>
      </c>
    </row>
    <row r="11" spans="1:9" hidden="1" x14ac:dyDescent="0.3">
      <c r="A11" s="5">
        <v>5</v>
      </c>
      <c r="B11" s="10">
        <v>200002</v>
      </c>
      <c r="C11" s="10">
        <v>1005</v>
      </c>
      <c r="D11" s="12" t="str">
        <f>_xlfn.CONCAT(VLOOKUP(OrderDetail[[#This Row],[Product ID]],Products[#All],2), " $", VLOOKUP(OrderDetail[[#This Row],[Product ID]],Products[#All],5))</f>
        <v>Bunny Ear Cactus $18</v>
      </c>
      <c r="E11" s="14">
        <v>18</v>
      </c>
      <c r="F11">
        <v>5</v>
      </c>
      <c r="G11" s="18">
        <f>OrderDetail[[#This Row],[Quantity]]*OrderDetail[[#This Row],[Unit Price]]</f>
        <v>90</v>
      </c>
    </row>
  </sheetData>
  <dataValidations count="4">
    <dataValidation type="list" allowBlank="1" showInputMessage="1" showErrorMessage="1" sqref="C2:C3" xr:uid="{2B29CC8D-D4BC-4BC2-A13E-2A68E150CD03}">
      <formula1>PK_CustomerID</formula1>
    </dataValidation>
    <dataValidation type="list" allowBlank="1" showInputMessage="1" showErrorMessage="1" sqref="B7:B11" xr:uid="{B5039254-B048-42D7-9637-86B7EC4B6C7C}">
      <formula1>PK_OrderID</formula1>
    </dataValidation>
    <dataValidation type="list" allowBlank="1" showInputMessage="1" showErrorMessage="1" sqref="C7:C11" xr:uid="{1792966D-F6E5-4E1C-B592-CF3C11C2810E}">
      <formula1>PK_ProductID</formula1>
    </dataValidation>
    <dataValidation type="list" allowBlank="1" showInputMessage="1" showErrorMessage="1" sqref="I2:I3" xr:uid="{D08FEBE1-0810-4131-908A-A0D1A0AFB075}">
      <formula1>PK_StatusID</formula1>
    </dataValidation>
  </dataValidations>
  <pageMargins left="0.7" right="0.7" top="0.75" bottom="0.75" header="0.3" footer="0.3"/>
  <pageSetup orientation="portrait" horizontalDpi="1200" verticalDpi="1200"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A781B8-D184-43A7-9B8F-2EE798D641F8}">
  <sheetPr codeName="Sheet3"/>
  <dimension ref="A1:I3"/>
  <sheetViews>
    <sheetView zoomScale="110" zoomScaleNormal="110" workbookViewId="0">
      <selection activeCell="E10" sqref="E10"/>
    </sheetView>
  </sheetViews>
  <sheetFormatPr defaultColWidth="8.33203125" defaultRowHeight="14.4" x14ac:dyDescent="0.3"/>
  <cols>
    <col min="1" max="1" width="14.109375" style="7" bestFit="1" customWidth="1"/>
    <col min="2" max="2" width="12.88671875" style="8" bestFit="1" customWidth="1"/>
    <col min="3" max="3" width="12.44140625" style="8" bestFit="1" customWidth="1"/>
    <col min="4" max="4" width="33.5546875" style="8" bestFit="1" customWidth="1"/>
    <col min="5" max="5" width="12.88671875" style="8" bestFit="1" customWidth="1"/>
    <col min="6" max="6" width="16.6640625" style="8" customWidth="1"/>
    <col min="7" max="7" width="13.5546875" style="8" bestFit="1" customWidth="1"/>
    <col min="8" max="8" width="7.88671875" style="8" bestFit="1" customWidth="1"/>
    <col min="9" max="9" width="11" style="8" bestFit="1" customWidth="1"/>
    <col min="10" max="16383" width="8.33203125" style="8"/>
    <col min="16384" max="16384" width="11.5546875" style="8" customWidth="1"/>
  </cols>
  <sheetData>
    <row r="1" spans="1:9" x14ac:dyDescent="0.3">
      <c r="A1" s="7" t="s">
        <v>65</v>
      </c>
      <c r="B1" s="8" t="s">
        <v>66</v>
      </c>
      <c r="C1" s="8" t="s">
        <v>67</v>
      </c>
      <c r="D1" s="8" t="s">
        <v>68</v>
      </c>
      <c r="E1" s="8" t="s">
        <v>69</v>
      </c>
      <c r="F1" s="8" t="s">
        <v>70</v>
      </c>
      <c r="G1" s="8" t="s">
        <v>71</v>
      </c>
      <c r="H1" s="8" t="s">
        <v>72</v>
      </c>
      <c r="I1" s="8" t="s">
        <v>73</v>
      </c>
    </row>
    <row r="2" spans="1:9" x14ac:dyDescent="0.3">
      <c r="A2" s="7">
        <v>32348</v>
      </c>
      <c r="B2" t="s">
        <v>76</v>
      </c>
      <c r="C2" t="s">
        <v>77</v>
      </c>
      <c r="D2" t="s">
        <v>78</v>
      </c>
      <c r="E2" t="s">
        <v>75</v>
      </c>
      <c r="F2" t="s">
        <v>79</v>
      </c>
      <c r="G2" t="s">
        <v>80</v>
      </c>
      <c r="H2" t="s">
        <v>74</v>
      </c>
      <c r="I2">
        <v>89101</v>
      </c>
    </row>
    <row r="3" spans="1:9" x14ac:dyDescent="0.3">
      <c r="A3" s="13">
        <v>32349</v>
      </c>
      <c r="B3" t="s">
        <v>92</v>
      </c>
      <c r="C3" t="s">
        <v>93</v>
      </c>
      <c r="D3" t="s">
        <v>94</v>
      </c>
      <c r="E3" t="s">
        <v>95</v>
      </c>
      <c r="F3" t="s">
        <v>96</v>
      </c>
      <c r="G3" t="s">
        <v>97</v>
      </c>
      <c r="H3" t="s">
        <v>74</v>
      </c>
      <c r="I3">
        <v>70112</v>
      </c>
    </row>
  </sheetData>
  <pageMargins left="0.7" right="0.7" top="0.75" bottom="0.75" header="0.511811023622047" footer="0.511811023622047"/>
  <pageSetup orientation="portrait" horizontalDpi="300" verticalDpi="3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D5C56-86FA-46F9-87D5-15B878A021CB}">
  <sheetPr codeName="Sheet2"/>
  <dimension ref="A1:M21"/>
  <sheetViews>
    <sheetView topLeftCell="A2" zoomScale="110" zoomScaleNormal="110" workbookViewId="0">
      <selection activeCell="A2" sqref="A2:A21"/>
    </sheetView>
  </sheetViews>
  <sheetFormatPr defaultRowHeight="14.4" x14ac:dyDescent="0.3"/>
  <cols>
    <col min="1" max="1" width="15.5546875" style="6" customWidth="1"/>
    <col min="2" max="2" width="20.109375" customWidth="1"/>
    <col min="3" max="3" width="27.88671875" customWidth="1"/>
    <col min="4" max="4" width="27.109375" customWidth="1"/>
    <col min="5" max="5" width="12.33203125" customWidth="1"/>
    <col min="9" max="9" width="18" customWidth="1"/>
  </cols>
  <sheetData>
    <row r="1" spans="1:13" ht="43.2" x14ac:dyDescent="0.3">
      <c r="A1" s="6" t="s">
        <v>64</v>
      </c>
      <c r="B1" t="s">
        <v>0</v>
      </c>
      <c r="C1" t="s">
        <v>1</v>
      </c>
      <c r="D1" t="s">
        <v>2</v>
      </c>
      <c r="E1" t="s">
        <v>3</v>
      </c>
      <c r="K1" s="19" t="s">
        <v>106</v>
      </c>
      <c r="L1" s="19" t="s">
        <v>107</v>
      </c>
      <c r="M1" s="19" t="s">
        <v>108</v>
      </c>
    </row>
    <row r="2" spans="1:13" ht="43.2" x14ac:dyDescent="0.3">
      <c r="A2" s="3">
        <v>1001</v>
      </c>
      <c r="B2" s="1" t="s">
        <v>4</v>
      </c>
      <c r="C2" s="1" t="s">
        <v>5</v>
      </c>
      <c r="D2" s="1" t="s">
        <v>6</v>
      </c>
      <c r="E2" s="2">
        <v>16</v>
      </c>
      <c r="K2" s="20" t="s">
        <v>109</v>
      </c>
      <c r="L2" s="19" t="s">
        <v>110</v>
      </c>
      <c r="M2" s="21">
        <v>0</v>
      </c>
    </row>
    <row r="3" spans="1:13" ht="72" x14ac:dyDescent="0.3">
      <c r="A3" s="4">
        <v>1002</v>
      </c>
      <c r="B3" s="1" t="s">
        <v>7</v>
      </c>
      <c r="C3" s="1" t="s">
        <v>8</v>
      </c>
      <c r="D3" s="1" t="s">
        <v>9</v>
      </c>
      <c r="E3" s="2">
        <v>19</v>
      </c>
      <c r="K3" s="20" t="s">
        <v>111</v>
      </c>
      <c r="L3" s="19" t="s">
        <v>112</v>
      </c>
      <c r="M3" s="21">
        <v>2</v>
      </c>
    </row>
    <row r="4" spans="1:13" ht="43.2" x14ac:dyDescent="0.3">
      <c r="A4" s="3">
        <v>1003</v>
      </c>
      <c r="B4" s="1" t="s">
        <v>10</v>
      </c>
      <c r="C4" s="1" t="s">
        <v>11</v>
      </c>
      <c r="D4" s="1" t="s">
        <v>12</v>
      </c>
      <c r="E4" s="2">
        <v>19</v>
      </c>
      <c r="K4" s="20" t="s">
        <v>113</v>
      </c>
      <c r="L4" s="19" t="s">
        <v>114</v>
      </c>
      <c r="M4" s="21">
        <v>4</v>
      </c>
    </row>
    <row r="5" spans="1:13" ht="43.2" x14ac:dyDescent="0.3">
      <c r="A5" s="4">
        <v>1004</v>
      </c>
      <c r="B5" s="1" t="s">
        <v>13</v>
      </c>
      <c r="C5" s="1" t="s">
        <v>14</v>
      </c>
      <c r="D5" s="1" t="s">
        <v>15</v>
      </c>
      <c r="E5" s="2">
        <v>18</v>
      </c>
    </row>
    <row r="6" spans="1:13" ht="43.2" x14ac:dyDescent="0.3">
      <c r="A6" s="3">
        <v>1005</v>
      </c>
      <c r="B6" s="1" t="s">
        <v>16</v>
      </c>
      <c r="C6" s="1" t="s">
        <v>17</v>
      </c>
      <c r="D6" s="1" t="s">
        <v>18</v>
      </c>
      <c r="E6" s="2">
        <v>18</v>
      </c>
    </row>
    <row r="7" spans="1:13" ht="43.2" x14ac:dyDescent="0.3">
      <c r="A7" s="4">
        <v>1006</v>
      </c>
      <c r="B7" s="1" t="s">
        <v>19</v>
      </c>
      <c r="C7" s="1" t="s">
        <v>20</v>
      </c>
      <c r="D7" s="1" t="s">
        <v>21</v>
      </c>
      <c r="E7" s="2">
        <v>18</v>
      </c>
    </row>
    <row r="8" spans="1:13" ht="43.2" x14ac:dyDescent="0.3">
      <c r="A8" s="3">
        <v>1007</v>
      </c>
      <c r="B8" s="1" t="s">
        <v>22</v>
      </c>
      <c r="C8" s="1" t="s">
        <v>23</v>
      </c>
      <c r="D8" s="1" t="s">
        <v>24</v>
      </c>
      <c r="E8" s="2">
        <v>16</v>
      </c>
    </row>
    <row r="9" spans="1:13" ht="43.2" x14ac:dyDescent="0.3">
      <c r="A9" s="4">
        <v>1008</v>
      </c>
      <c r="B9" s="1" t="s">
        <v>25</v>
      </c>
      <c r="C9" s="1" t="s">
        <v>26</v>
      </c>
      <c r="D9" s="1" t="s">
        <v>27</v>
      </c>
      <c r="E9" s="2">
        <v>18</v>
      </c>
    </row>
    <row r="10" spans="1:13" ht="43.2" x14ac:dyDescent="0.3">
      <c r="A10" s="3">
        <v>1009</v>
      </c>
      <c r="B10" s="1" t="s">
        <v>28</v>
      </c>
      <c r="C10" s="1" t="s">
        <v>29</v>
      </c>
      <c r="D10" s="1" t="s">
        <v>30</v>
      </c>
      <c r="E10" s="2">
        <v>15</v>
      </c>
    </row>
    <row r="11" spans="1:13" ht="43.2" x14ac:dyDescent="0.3">
      <c r="A11" s="4">
        <v>1010</v>
      </c>
      <c r="B11" s="1" t="s">
        <v>31</v>
      </c>
      <c r="C11" s="1" t="s">
        <v>32</v>
      </c>
      <c r="D11" s="1" t="s">
        <v>33</v>
      </c>
      <c r="E11" s="2">
        <v>15</v>
      </c>
    </row>
    <row r="12" spans="1:13" ht="43.2" x14ac:dyDescent="0.3">
      <c r="A12" s="3">
        <v>1011</v>
      </c>
      <c r="B12" s="1" t="s">
        <v>34</v>
      </c>
      <c r="C12" s="1" t="s">
        <v>35</v>
      </c>
      <c r="D12" s="1" t="s">
        <v>36</v>
      </c>
      <c r="E12" s="2">
        <v>15</v>
      </c>
    </row>
    <row r="13" spans="1:13" ht="43.2" x14ac:dyDescent="0.3">
      <c r="A13" s="4">
        <v>1012</v>
      </c>
      <c r="B13" s="1" t="s">
        <v>37</v>
      </c>
      <c r="C13" s="1" t="s">
        <v>38</v>
      </c>
      <c r="D13" s="1" t="s">
        <v>39</v>
      </c>
      <c r="E13" s="2">
        <v>19</v>
      </c>
    </row>
    <row r="14" spans="1:13" ht="43.2" x14ac:dyDescent="0.3">
      <c r="A14" s="3">
        <v>1013</v>
      </c>
      <c r="B14" s="1" t="s">
        <v>40</v>
      </c>
      <c r="C14" s="1" t="s">
        <v>41</v>
      </c>
      <c r="D14" s="1" t="s">
        <v>42</v>
      </c>
      <c r="E14" s="2">
        <v>17</v>
      </c>
    </row>
    <row r="15" spans="1:13" ht="43.2" x14ac:dyDescent="0.3">
      <c r="A15" s="4">
        <v>1014</v>
      </c>
      <c r="B15" s="1" t="s">
        <v>43</v>
      </c>
      <c r="C15" s="1" t="s">
        <v>44</v>
      </c>
      <c r="D15" s="1" t="s">
        <v>45</v>
      </c>
      <c r="E15" s="2">
        <v>20</v>
      </c>
    </row>
    <row r="16" spans="1:13" ht="43.2" x14ac:dyDescent="0.3">
      <c r="A16" s="3">
        <v>1015</v>
      </c>
      <c r="B16" s="1" t="s">
        <v>46</v>
      </c>
      <c r="C16" s="1" t="s">
        <v>47</v>
      </c>
      <c r="D16" s="1" t="s">
        <v>48</v>
      </c>
      <c r="E16" s="2">
        <v>18</v>
      </c>
    </row>
    <row r="17" spans="1:5" ht="43.2" x14ac:dyDescent="0.3">
      <c r="A17" s="4">
        <v>1016</v>
      </c>
      <c r="B17" s="1" t="s">
        <v>49</v>
      </c>
      <c r="C17" s="1" t="s">
        <v>50</v>
      </c>
      <c r="D17" s="1" t="s">
        <v>51</v>
      </c>
      <c r="E17" s="2">
        <v>16</v>
      </c>
    </row>
    <row r="18" spans="1:5" ht="43.2" x14ac:dyDescent="0.3">
      <c r="A18" s="3">
        <v>1017</v>
      </c>
      <c r="B18" s="1" t="s">
        <v>52</v>
      </c>
      <c r="C18" s="1" t="s">
        <v>53</v>
      </c>
      <c r="D18" s="1" t="s">
        <v>54</v>
      </c>
      <c r="E18" s="2">
        <v>18</v>
      </c>
    </row>
    <row r="19" spans="1:5" ht="57.6" x14ac:dyDescent="0.3">
      <c r="A19" s="4">
        <v>1018</v>
      </c>
      <c r="B19" s="1" t="s">
        <v>55</v>
      </c>
      <c r="C19" s="1" t="s">
        <v>56</v>
      </c>
      <c r="D19" s="1" t="s">
        <v>57</v>
      </c>
      <c r="E19" s="2">
        <v>16</v>
      </c>
    </row>
    <row r="20" spans="1:5" ht="43.2" x14ac:dyDescent="0.3">
      <c r="A20" s="3">
        <v>1019</v>
      </c>
      <c r="B20" s="1" t="s">
        <v>58</v>
      </c>
      <c r="C20" s="1" t="s">
        <v>59</v>
      </c>
      <c r="D20" s="1" t="s">
        <v>60</v>
      </c>
      <c r="E20" s="2">
        <v>20</v>
      </c>
    </row>
    <row r="21" spans="1:5" ht="43.2" x14ac:dyDescent="0.3">
      <c r="A21" s="4">
        <v>1020</v>
      </c>
      <c r="B21" s="1" t="s">
        <v>61</v>
      </c>
      <c r="C21" s="1" t="s">
        <v>62</v>
      </c>
      <c r="D21" s="1" t="s">
        <v>63</v>
      </c>
      <c r="E21" s="2">
        <v>15</v>
      </c>
    </row>
  </sheetData>
  <pageMargins left="0.7" right="0.7" top="0.75" bottom="0.75" header="0.3" footer="0.3"/>
  <pageSetup orientation="portrait" horizontalDpi="1200" verticalDpi="1200"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2D13B-CEF1-4117-B917-9B03C62E14EC}">
  <sheetPr codeName="Sheet4"/>
  <dimension ref="A1:B7"/>
  <sheetViews>
    <sheetView workbookViewId="0">
      <selection activeCell="B4" sqref="B4"/>
    </sheetView>
  </sheetViews>
  <sheetFormatPr defaultRowHeight="14.4" x14ac:dyDescent="0.3"/>
  <cols>
    <col min="1" max="1" width="10" customWidth="1"/>
    <col min="2" max="2" width="18.44140625" bestFit="1" customWidth="1"/>
  </cols>
  <sheetData>
    <row r="1" spans="1:2" x14ac:dyDescent="0.3">
      <c r="A1" t="s">
        <v>85</v>
      </c>
    </row>
    <row r="2" spans="1:2" x14ac:dyDescent="0.3">
      <c r="A2" s="15">
        <v>8.2500000000000004E-2</v>
      </c>
    </row>
    <row r="4" spans="1:2" x14ac:dyDescent="0.3">
      <c r="A4" t="s">
        <v>105</v>
      </c>
      <c r="B4" t="s">
        <v>101</v>
      </c>
    </row>
    <row r="5" spans="1:2" x14ac:dyDescent="0.3">
      <c r="A5" s="5" t="s">
        <v>98</v>
      </c>
      <c r="B5" t="s">
        <v>102</v>
      </c>
    </row>
    <row r="6" spans="1:2" x14ac:dyDescent="0.3">
      <c r="A6" s="5" t="s">
        <v>99</v>
      </c>
      <c r="B6" t="s">
        <v>103</v>
      </c>
    </row>
    <row r="7" spans="1:2" x14ac:dyDescent="0.3">
      <c r="A7" s="5" t="s">
        <v>100</v>
      </c>
      <c r="B7" t="s">
        <v>104</v>
      </c>
    </row>
  </sheetData>
  <pageMargins left="0.7" right="0.7" top="0.75" bottom="0.75" header="0.3" footer="0.3"/>
  <pageSetup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Sales Invoice</vt:lpstr>
      <vt:lpstr>Orders</vt:lpstr>
      <vt:lpstr>Customers</vt:lpstr>
      <vt:lpstr>Products</vt:lpstr>
      <vt:lpstr>Config</vt:lpstr>
      <vt:lpstr>'Sales Invoice'!invCustomerID</vt:lpstr>
      <vt:lpstr>'Sales Invoice'!invOrderDate</vt:lpstr>
      <vt:lpstr>'Sales Invoice'!invOrderID</vt:lpstr>
      <vt:lpstr>'Sales Invoice'!invTaxRate</vt:lpstr>
      <vt:lpstr>PK_CustomerID</vt:lpstr>
      <vt:lpstr>PK_OrderID</vt:lpstr>
      <vt:lpstr>PK_ProductID</vt:lpstr>
      <vt:lpstr>PK_StatusID</vt:lpstr>
      <vt:lpstr>'Sales Invoice'!Print_Area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johnn</dc:creator>
  <cp:lastModifiedBy>johnn</cp:lastModifiedBy>
  <dcterms:created xsi:type="dcterms:W3CDTF">2023-09-18T04:35:09Z</dcterms:created>
  <dcterms:modified xsi:type="dcterms:W3CDTF">2024-01-14T03:42:34Z</dcterms:modified>
</cp:coreProperties>
</file>